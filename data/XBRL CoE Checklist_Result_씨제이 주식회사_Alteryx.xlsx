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ykorea-my.sharepoint.com/personal/dohyun_yim_kr_ey_com/Documents/Desktop/FY26/BSA-Develop/Reference/test/"/>
    </mc:Choice>
  </mc:AlternateContent>
  <xr:revisionPtr revIDLastSave="3" documentId="13_ncr:1_{A8801932-AF33-4CBB-B8F7-DF12844FB05C}" xr6:coauthVersionLast="47" xr6:coauthVersionMax="47" xr10:uidLastSave="{8B484D9C-F499-429C-922E-5CD9A3A2F209}"/>
  <bookViews>
    <workbookView xWindow="28704" yWindow="1776" windowWidth="14592" windowHeight="15576" firstSheet="22" activeTab="24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'Checklist_3-1'!$B$13:$Y$21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'Checklist_5-6'!$B$13:$D$117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" l="1"/>
  <c r="B11" i="32"/>
  <c r="N37" i="1" s="1"/>
  <c r="B11" i="31"/>
  <c r="N22" i="1" s="1"/>
  <c r="B11" i="30"/>
  <c r="N36" i="1" s="1"/>
  <c r="B11" i="29"/>
  <c r="N40" i="1" s="1"/>
  <c r="B11" i="9"/>
  <c r="B11" i="28" l="1"/>
  <c r="N34" i="1" s="1"/>
  <c r="B11" i="27"/>
  <c r="N41" i="1" s="1"/>
  <c r="B11" i="26"/>
  <c r="N39" i="1" s="1"/>
  <c r="B11" i="25" l="1"/>
  <c r="N35" i="1" s="1"/>
  <c r="B11" i="24" l="1"/>
  <c r="N33" i="1" s="1"/>
  <c r="B11" i="23"/>
  <c r="B11" i="22"/>
  <c r="N23" i="1" s="1"/>
  <c r="B11" i="21"/>
  <c r="N21" i="1" s="1"/>
  <c r="B11" i="19"/>
  <c r="N20" i="1" s="1"/>
  <c r="B11" i="18" l="1"/>
  <c r="N31" i="1" s="1"/>
  <c r="B11" i="17"/>
  <c r="N30" i="1" s="1"/>
  <c r="B11" i="16"/>
  <c r="N29" i="1" s="1"/>
  <c r="B11" i="15"/>
  <c r="N28" i="1" s="1"/>
  <c r="B11" i="14"/>
  <c r="N27" i="1" s="1"/>
  <c r="B11" i="13"/>
  <c r="N26" i="1" s="1"/>
  <c r="B11" i="12"/>
  <c r="N19" i="1" s="1"/>
  <c r="B11" i="11"/>
  <c r="N18" i="1" s="1"/>
  <c r="B11" i="10"/>
  <c r="N38" i="1" s="1"/>
  <c r="N25" i="1"/>
  <c r="B11" i="8"/>
  <c r="N17" i="1" s="1"/>
  <c r="B11" i="7"/>
  <c r="N16" i="1" s="1"/>
  <c r="B11" i="6"/>
  <c r="N15" i="1" s="1"/>
  <c r="B11" i="5"/>
  <c r="N14" i="1" s="1"/>
  <c r="B11" i="3" l="1"/>
  <c r="N24" i="1" s="1"/>
  <c r="B11" i="1" s="1"/>
</calcChain>
</file>

<file path=xl/sharedStrings.xml><?xml version="1.0" encoding="utf-8"?>
<sst xmlns="http://schemas.openxmlformats.org/spreadsheetml/2006/main" count="2616" uniqueCount="587">
  <si>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</si>
  <si>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</si>
  <si>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</si>
  <si>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</si>
  <si>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</si>
  <si>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</si>
  <si>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</si>
  <si>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</si>
  <si>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</si>
  <si>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</si>
  <si>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</si>
  <si>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</si>
  <si>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</si>
  <si>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</si>
  <si>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</si>
  <si>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</si>
  <si>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</si>
  <si>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</si>
  <si>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</si>
  <si>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</si>
  <si>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</si>
  <si>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</si>
  <si>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</si>
  <si>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</si>
  <si>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</si>
  <si>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</si>
  <si>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</si>
  <si>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</si>
  <si>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</si>
  <si>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</si>
  <si>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</si>
  <si>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</si>
  <si>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</si>
  <si>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</si>
  <si>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</si>
  <si>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</si>
  <si>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</si>
  <si>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</si>
  <si>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</si>
  <si>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</si>
  <si>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</si>
  <si>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</si>
  <si>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</si>
  <si>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</si>
  <si>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</si>
  <si>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</si>
  <si>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</si>
  <si>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</si>
  <si>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</si>
  <si>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</si>
  <si>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</si>
  <si>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</si>
  <si>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</si>
  <si>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</si>
  <si>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</si>
  <si>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</si>
  <si>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</si>
  <si>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</si>
  <si>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</si>
  <si>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</si>
  <si>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</si>
  <si>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</si>
  <si>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</si>
  <si>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</si>
  <si>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</si>
  <si>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</si>
  <si>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</si>
  <si>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</si>
  <si>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</si>
  <si>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</si>
  <si>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</si>
  <si>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</si>
  <si>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</si>
  <si>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</si>
  <si>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</si>
  <si>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</si>
  <si>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</si>
  <si>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</si>
  <si>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</si>
  <si>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</si>
  <si>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</si>
  <si>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</si>
  <si>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</si>
  <si>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</si>
  <si>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</si>
  <si>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</si>
  <si>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</si>
  <si>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</si>
  <si>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</si>
  <si>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</si>
  <si>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</si>
  <si>
    <t>[D610000] 자본변동표 - 연결 | Statement of changes in equity - Consolidated financial statements</t>
  </si>
  <si>
    <t>[D610000] 자본변동표 - 연결</t>
  </si>
  <si>
    <t>ifrs-full</t>
  </si>
  <si>
    <t>DividendsPaid</t>
  </si>
  <si>
    <t>연차배당</t>
  </si>
  <si>
    <t>Dividends recognised as distributions to owners</t>
  </si>
  <si>
    <t>http://www.xbrl.org/2009/role/negatedLabel</t>
  </si>
  <si>
    <t>monetaryItemType</t>
  </si>
  <si>
    <t>DURATION</t>
  </si>
  <si>
    <t>[D610005] 자본변동표 - 별도 | Statement of changes in equity - Separate financial statements</t>
  </si>
  <si>
    <t>[D610005] 자본변동표 - 별도</t>
  </si>
  <si>
    <t>Dividends paid</t>
  </si>
  <si>
    <t>http://www.xbrl.org/2009/role/negatedTerseLabel</t>
  </si>
  <si>
    <t>[D861310] 23. 배당금 | 23. Dividends</t>
  </si>
  <si>
    <t>배당금에 대한 공시</t>
  </si>
  <si>
    <t>소유주에 대한 배분으로 인식된 배당금</t>
  </si>
  <si>
    <t>http://www.xbrl.org/2003/role/label</t>
  </si>
  <si>
    <t>DividendsPaidOrdinarySharesPerShare</t>
  </si>
  <si>
    <t>보통주에 지급된 주당배당금(원)</t>
  </si>
  <si>
    <t>Dividends paid, ordinary shares per share</t>
  </si>
  <si>
    <t>http://www.xbrl.org/2003/role/terseLabel</t>
  </si>
  <si>
    <t>perShareItemType</t>
  </si>
  <si>
    <t>[D861315] 17. 배당금 | 17. Dividends</t>
  </si>
  <si>
    <t>배당금 지급액</t>
  </si>
  <si>
    <t>[D822390] 9. 공정가치금융자산 | 9. Financial instruments at fair value</t>
  </si>
  <si>
    <t>공정가치금융자산의 내역</t>
  </si>
  <si>
    <t>DebtSecuritiesMember</t>
  </si>
  <si>
    <t>채무상품</t>
  </si>
  <si>
    <t>Debt instruments</t>
  </si>
  <si>
    <t>domainItemType</t>
  </si>
  <si>
    <t>유동공정가치금융자산 내역</t>
  </si>
  <si>
    <t>비유동공정가치금융자산의 내역</t>
  </si>
  <si>
    <t>dart</t>
  </si>
  <si>
    <t>PublicStocksMember</t>
  </si>
  <si>
    <t>상장주식 [구성요소]</t>
  </si>
  <si>
    <t>Public stocks [member]</t>
  </si>
  <si>
    <t>PrivateStocksMember</t>
  </si>
  <si>
    <t>비상장주식</t>
  </si>
  <si>
    <t>Private stocks</t>
  </si>
  <si>
    <t>http://www.xbrl.org/2003/role/verboseLabel</t>
  </si>
  <si>
    <t>OtherEquitySecuritiesMember</t>
  </si>
  <si>
    <t>기타지분증권 [구성요소]</t>
  </si>
  <si>
    <t>Other equity securities [member]</t>
  </si>
  <si>
    <t>[D822395] 6. 공정가치금융자산 | 6. Financial instruments at fair value</t>
  </si>
  <si>
    <t>Debt securities</t>
  </si>
  <si>
    <t>당기손익-공정가치측정 금융자산의 상세내역</t>
  </si>
  <si>
    <t>[D822480] 6. 기타금융자산 | 6. Other Financial Assets</t>
  </si>
  <si>
    <t>기타금융자산 손실충당금의 변동내역</t>
  </si>
  <si>
    <t>OtherFinancialAssetsMember</t>
  </si>
  <si>
    <t>기타금융자산 [구성요소]</t>
  </si>
  <si>
    <t>Other financial assets [member]</t>
  </si>
  <si>
    <t>[D823000] 4. 공정가치 | 4. Fair value measurement</t>
  </si>
  <si>
    <t>반복적인 측정치의 수준 3의 변동 내역 - 금융자산</t>
  </si>
  <si>
    <t>FinancialAssetsAtFairValueMember</t>
  </si>
  <si>
    <t>공정가치로 측정하는 금융자산 [구성요소]</t>
  </si>
  <si>
    <t>Financial assets at fair value, class [member]</t>
  </si>
  <si>
    <t>반복적인 측정치의 수준 3의 변동 내역 - 금융부채</t>
  </si>
  <si>
    <t>FinancialLiabilitiesAtFairValueMember</t>
  </si>
  <si>
    <t>공정가치로 측정하는 금융부채 [구성요소]</t>
  </si>
  <si>
    <t>Financial liabilities at fair value, class [member]</t>
  </si>
  <si>
    <t>자산에 대한 가치평가기법 및 투입변수, 수준2</t>
  </si>
  <si>
    <t>DebtSecuritiesAtFairValueThroughProfitOrLossMember</t>
  </si>
  <si>
    <t>당기손익-공정가치 측정 채무상품</t>
  </si>
  <si>
    <t>Debt securities at fair value through profit or loss, category [member]</t>
  </si>
  <si>
    <t>EquitySecuritiesMember</t>
  </si>
  <si>
    <t>기타포괄손익-공정가치 측정 지분상품</t>
  </si>
  <si>
    <t>Equity securities [member]</t>
  </si>
  <si>
    <t>DebtSecuritiesMeasuredAtFairValueThroughOtherComprehensiveIncomeCategoryMember</t>
  </si>
  <si>
    <t>기타포괄손익-공정가치 측정 채무상품</t>
  </si>
  <si>
    <t>Debt securities measured at fair value through other comprehensive income, category [member]</t>
  </si>
  <si>
    <t>자산에 대한 가치평가기법, 수준3</t>
  </si>
  <si>
    <t>EquitySecuritiesAtFairValueThroughProfitOrLossMember</t>
  </si>
  <si>
    <t>당기손익-공정가치 측정 지분상품</t>
  </si>
  <si>
    <t>Equity instruments measured at fair value through profit or loss</t>
  </si>
  <si>
    <t>자산에 대한 투입변수, 수준3</t>
  </si>
  <si>
    <t>부채에 대한 가치평가기법 및 투입변수, 수준2</t>
  </si>
  <si>
    <t>DerivativeLiabilitiesMember</t>
  </si>
  <si>
    <t>파생상품부채</t>
  </si>
  <si>
    <t>Derivative financial liabilities</t>
  </si>
  <si>
    <t>[D823005] 4. 공정가치 | 4. Fair value measurement</t>
  </si>
  <si>
    <t>공정가치로 측정되는 자산의 공정가치 서열체계 구분</t>
  </si>
  <si>
    <t>채무증권 [구성요소]</t>
  </si>
  <si>
    <t>Debt securities [member]</t>
  </si>
  <si>
    <t>공정가치로 측정되는 금융부채의 공정가치 서열체계 구분</t>
  </si>
  <si>
    <t>DerivativesMember</t>
  </si>
  <si>
    <t>파생상품 [구성요소]</t>
  </si>
  <si>
    <t>Derivatives [member]</t>
  </si>
  <si>
    <t>자산에 대한 가치평가기법 및 투입변수, 수준3</t>
  </si>
  <si>
    <t>부채에 대한 가치평가기법 및 투입변수, 수준3</t>
  </si>
  <si>
    <t>[D822400] 15. 차입금 | 15. Borrowings</t>
  </si>
  <si>
    <t>단기차입금의 내역</t>
  </si>
  <si>
    <t>BorrowingsInterestRate</t>
  </si>
  <si>
    <t>연이자율</t>
  </si>
  <si>
    <t>Annual interest rate</t>
  </si>
  <si>
    <t>percentItemType</t>
  </si>
  <si>
    <t>INSTANT</t>
  </si>
  <si>
    <t>장기차입금의 내역</t>
  </si>
  <si>
    <t>[D822450] 16. 사채 | 16. Bonds</t>
  </si>
  <si>
    <t>사채의 내역</t>
  </si>
  <si>
    <t>[D822455] 11. 사채 | 11. Bonds</t>
  </si>
  <si>
    <t>[D835110] 22. 법인세비용 | 22. Income taxes</t>
  </si>
  <si>
    <t>평균유효세율과 적용세율간의 조정 [표]</t>
  </si>
  <si>
    <t>AverageEffectiveTaxRate</t>
  </si>
  <si>
    <t>예상 가중평균 연간유효법인세율</t>
  </si>
  <si>
    <t>Expected weighted average annual effective corporate tax rate</t>
  </si>
  <si>
    <t>[D835115] 16. 법인세비용 | 16. Income taxes</t>
  </si>
  <si>
    <t>평균유효세율과 적용세율간의 조정</t>
  </si>
  <si>
    <t>[D861200] 18. 자본금 및 주식발행초과금 | 18. Share capital, reserves and other equity interest</t>
  </si>
  <si>
    <t>유통주식수의 변동내역</t>
  </si>
  <si>
    <t>entity00148540</t>
  </si>
  <si>
    <t>ChangesInSharesTable</t>
  </si>
  <si>
    <t>Changes In Shares</t>
  </si>
  <si>
    <t>stringItemType</t>
  </si>
  <si>
    <t>Title2025414124725497LineItems</t>
  </si>
  <si>
    <t>[D861205] 13. 자본금 및 주식발행초과금 | 13. Share capital, reserves and other equity interest</t>
  </si>
  <si>
    <t>[D520000] 현금흐름표, 간접법 - 연결 | Statement of cash flows, indirect method - Consolidated financial statements</t>
  </si>
  <si>
    <t>[D520000] 현금흐름표, 간접법 - 연결</t>
  </si>
  <si>
    <t>CashAndCashEquivalentsAtBeginningOfPeriodCf</t>
  </si>
  <si>
    <t>기초의현금및현금성자산</t>
  </si>
  <si>
    <t>Cash and cash equivalents at beginning of period</t>
  </si>
  <si>
    <t>CashAndCashEquivalentsAtEndOfPeriodCf</t>
  </si>
  <si>
    <t>분기말의현금및현금성자산</t>
  </si>
  <si>
    <t>Cash and cash equivalents at end of period</t>
  </si>
  <si>
    <t>[D520005] 현금흐름표, 간접법 - 별도 | Statement of cash flows, indirect method - Separate financial statements</t>
  </si>
  <si>
    <t>[D520005] 현금흐름표, 간접법 - 별도</t>
  </si>
  <si>
    <t>EquityAtBeginningOfPeriod</t>
  </si>
  <si>
    <t>기초자본</t>
  </si>
  <si>
    <t>Equity at beginning of period</t>
  </si>
  <si>
    <t>Equity</t>
  </si>
  <si>
    <t>기말자본</t>
  </si>
  <si>
    <t>http://www.xbrl.org/2003/role/periodEndLabel</t>
  </si>
  <si>
    <t>[D818000] 26. 특수관계자와의 거래 | 26. Related party</t>
  </si>
  <si>
    <t>특수관계자와의 자금 거래</t>
  </si>
  <si>
    <t>LoanTransactionsBetweenEntityRelatedPartyLending</t>
  </si>
  <si>
    <t>자금대여 등</t>
  </si>
  <si>
    <t>Loan transactions, lending, etc</t>
  </si>
  <si>
    <t>[D822100] 11. 유형자산 | 11. Property, plant and equipment</t>
  </si>
  <si>
    <t>유형자산에 대한 세부 정보 공시</t>
  </si>
  <si>
    <t>PropertyPlantAndEquipment</t>
  </si>
  <si>
    <t>기초 순장부금액</t>
  </si>
  <si>
    <t>Beginning balance</t>
  </si>
  <si>
    <t>http://www.xbrl.org/2003/role/periodStartLabel</t>
  </si>
  <si>
    <t>분기말 순장부금액</t>
  </si>
  <si>
    <t>Ending balance</t>
  </si>
  <si>
    <t>[D822105] 8. 유형자산 | 8. Property, plant and equipment</t>
  </si>
  <si>
    <t>[D822420] 5. 매출채권 및 계약자산 | 5. Trade receivables and contract assets</t>
  </si>
  <si>
    <t>매출채권 및 계약자산에 대한 손실충당금의 변동내역</t>
  </si>
  <si>
    <t>FinancialAssets</t>
  </si>
  <si>
    <t>기초</t>
  </si>
  <si>
    <t>Financial assets at beginning of period</t>
  </si>
  <si>
    <t>분기말</t>
  </si>
  <si>
    <t>Financial assets at end of period</t>
  </si>
  <si>
    <t>Assets</t>
  </si>
  <si>
    <t>기초 금액</t>
  </si>
  <si>
    <t>Assest at beginning</t>
  </si>
  <si>
    <t>기말 금액</t>
  </si>
  <si>
    <t>Liabilities</t>
  </si>
  <si>
    <t>Liabilities at Beginning</t>
  </si>
  <si>
    <t>[D823180] 13. 무형자산 | 13. Intangible assets</t>
  </si>
  <si>
    <t>무형자산 및 영업권의 변동내역에 대한 공시</t>
  </si>
  <si>
    <t>IntangibleAssetsAndGoodwill</t>
  </si>
  <si>
    <t>[D823185] 9. 무형자산 | 9. Intangible assets</t>
  </si>
  <si>
    <t>무형자산에 대한 세부 정보 공시</t>
  </si>
  <si>
    <t>IntangibleAssetsOtherThanGoodwill</t>
  </si>
  <si>
    <t>기초 영업권 이외의 무형자산</t>
  </si>
  <si>
    <t>Intangible assets other than goodwill at beginning of period</t>
  </si>
  <si>
    <t>기말 영업권 이외의 무형자산</t>
  </si>
  <si>
    <t>[D825100] 14. 투자부동산 | 14. Investment property</t>
  </si>
  <si>
    <t>투자부동산에 대한 세부 정보 공시</t>
  </si>
  <si>
    <t>InvestmentProperty</t>
  </si>
  <si>
    <t>[D825105] 10. 투자부동산 | 10. Investment property</t>
  </si>
  <si>
    <t>[D832610] 12-1. 사용권자산 | 12-1. Right of use assets</t>
  </si>
  <si>
    <t>사용권자산의 변동 내역</t>
  </si>
  <si>
    <t>RightofuseAssets</t>
  </si>
  <si>
    <t>[D832620] 12-2. 리스부채 | 12-2. Lease liabilities</t>
  </si>
  <si>
    <t>리스부채에 대한 양적 정보 공시</t>
  </si>
  <si>
    <t>LeaseLiabilities</t>
  </si>
  <si>
    <t>기초 리스부채</t>
  </si>
  <si>
    <t>Lease liabilities at beginning of period</t>
  </si>
  <si>
    <t>기말 리스부채</t>
  </si>
  <si>
    <t>Lease liabilities at end of period</t>
  </si>
  <si>
    <t>NumberOfSharesOutstanding</t>
  </si>
  <si>
    <t>Beginning of period</t>
  </si>
  <si>
    <t>sharesItemType</t>
  </si>
  <si>
    <t>End of period</t>
  </si>
  <si>
    <t>[D210000] 재무상태표, 유동/비유동법 - 연결 | Statement of financial position, current/non-current - Consolidated financial statements</t>
  </si>
  <si>
    <t>[D210000] 재무상태표, 유동/비유동법 - 연결</t>
  </si>
  <si>
    <t>단위표시</t>
  </si>
  <si>
    <t>[D210005] 재무상태표, 유동/비유동법 - 별도 | Statement of financial position, current/non-current - Separate financial statements</t>
  </si>
  <si>
    <t>[D210005] 재무상태표, 유동/비유동법 - 별도</t>
  </si>
  <si>
    <t>[D310000] 손익계산서, 기능별 분류 - 연결 | Income statement, by function of expense - Consolidated financial statements</t>
  </si>
  <si>
    <t>[D310000] 손익계산서, 기능별 분류 - 연결</t>
  </si>
  <si>
    <t>[D310005] 손익계산서, 기능별 분류 - 별도 | Income statement, by function of expense - Separate financial statements</t>
  </si>
  <si>
    <t>[D310005] 손익계산서, 기능별 분류 - 별도</t>
  </si>
  <si>
    <t>[D410000] 포괄손익계산서, 세후로 표시된 OCI 구성요소 - 연결 | Statement of comprehensive income - Consolidated financial statements</t>
  </si>
  <si>
    <t>[D410000] 포괄손익계산서, 세후로 표시된 OCI 구성요소 - 연결</t>
  </si>
  <si>
    <t>[D410005] 포괄손익계산서, 세후로 표시된 OCI 구성요소 - 별도 | Statement of comprehensive income - Separate financial statements</t>
  </si>
  <si>
    <t>[D410005] 포괄손익계산서, 세후로 표시된 OCI 구성요소 - 별도</t>
  </si>
  <si>
    <t>[D815000] 29. 보고기간 후 사건 | 29. Events after reporting period</t>
  </si>
  <si>
    <t>보고기간 후 사건</t>
  </si>
  <si>
    <t>단위미표시</t>
  </si>
  <si>
    <t>[D815005] 21. 보고기간 후 사건 | 21. Events after reporting period</t>
  </si>
  <si>
    <t>[D817000] 28. 사업결합 | 28. Business combinations</t>
  </si>
  <si>
    <t>보고기간 동안 발생한 사업결합의 내용과 재무효과에 대한 기술</t>
  </si>
  <si>
    <t>사업결합에 대한 세부 정보 공시</t>
  </si>
  <si>
    <t>주요 경영진에 대한 보상</t>
  </si>
  <si>
    <t>특수관계자와의 매출 및 매입 등의 거래내역</t>
  </si>
  <si>
    <t>회사와 특수관계자 간의 채권ㆍ채무의 내역</t>
  </si>
  <si>
    <t>[D818005] 20. 특수관계자와의 거래 | 20. Related party</t>
  </si>
  <si>
    <t>회사와 특수관계자 간의 주요 거래 내역에 대한 상세 기술</t>
  </si>
  <si>
    <t>회사와 특수관계자와의 자금 거래</t>
  </si>
  <si>
    <t>매출채권 및 계약자산의 장부금액과 손실충당금의 내역</t>
  </si>
  <si>
    <t>[D822475] 5-2. 사용제한예금 | 5-2. Restricted financial assets</t>
  </si>
  <si>
    <t>사용이 제한된 금융자산</t>
  </si>
  <si>
    <t>기타금융자산의 내역</t>
  </si>
  <si>
    <t>[D822485] 5-1. 기타금융자산 | 5-1. Other Financial Assets</t>
  </si>
  <si>
    <t>기타금융자산 장부금액과 손실충당금의 내역</t>
  </si>
  <si>
    <t>공정가치 서열체계의 수준</t>
  </si>
  <si>
    <t>공정가치로 측정되는 부채의 공정가치 서열체계 구분</t>
  </si>
  <si>
    <t>공정가치측정에 대한 일반사항</t>
  </si>
  <si>
    <t>부채에 대한 가치평가기법, 수준3</t>
  </si>
  <si>
    <t>부채에 대한 투입변수, 수준3</t>
  </si>
  <si>
    <t>[D825900] 8. 매각예정자산 및 부채 | 8. Non-current asset and liability held for sale and discontinued operations</t>
  </si>
  <si>
    <t>기타 매각예정자산 및 부채의 내역</t>
  </si>
  <si>
    <t>매각예정으로 분류한 처분자산 집단의 주요 자산 및 부채의 내역</t>
  </si>
  <si>
    <t>[D826380] 7. 재고자산 | 7. Inventories</t>
  </si>
  <si>
    <t>재고자산 관련 원가</t>
  </si>
  <si>
    <t>재고자산 내역</t>
  </si>
  <si>
    <t>[D827580] 25. 우발상황 및 중요한 약정사항 | 25. Contingent liabilities and commitments</t>
  </si>
  <si>
    <t>기타 중요한 약정사항</t>
  </si>
  <si>
    <t>기타우발부채</t>
  </si>
  <si>
    <t>담보제공 내역</t>
  </si>
  <si>
    <t>소송사건</t>
  </si>
  <si>
    <t>연결회사가 지급보증을 제공한 내용</t>
  </si>
  <si>
    <t>[D827585] 19. 우발상황 및 약정사항 | 19. Contingent liabilities and commitments</t>
  </si>
  <si>
    <t>금융기관 약정 및 기타 중요한 약정사항</t>
  </si>
  <si>
    <t>보증 관련 우발부채, 비 PF 우발부채에 대한 공시</t>
  </si>
  <si>
    <t>회사가 보증을 제공한 내역</t>
  </si>
  <si>
    <t>[D831150] 19. 고객과의 계약에서 생기는 수익 | 19. Revenue from contracts with customers</t>
  </si>
  <si>
    <t>고객과의 계약에서 생기는 수익의 구분(지역)</t>
  </si>
  <si>
    <t>연결회사가 수익으로 인식한 금액</t>
  </si>
  <si>
    <t>[D831155] 14. 고객과의 계약에서 생기는 수익 | 14. Revenue from contracts with customers</t>
  </si>
  <si>
    <t>고객과의 계약에서 생기는 수익의 구분에 대한 공시</t>
  </si>
  <si>
    <t>[D834300] 20. 비용의 성격별 분류 | 20. Expenses by nature</t>
  </si>
  <si>
    <t>비용의 성격별 분류</t>
  </si>
  <si>
    <t>[D834305] 15. 비용의 성격별 분류 | 15. Expenses by nature</t>
  </si>
  <si>
    <t>[D834310] 21. 판매비와 관리비 | 21. Selling, general and administrative expense</t>
  </si>
  <si>
    <t>판매비와관리비</t>
  </si>
  <si>
    <t>[D834480] 17. 순확정급여부채 | 17. Employee benefits</t>
  </si>
  <si>
    <t>순확정급여부채 산정 내역</t>
  </si>
  <si>
    <t>연결손익계산서에 반영된 금액</t>
  </si>
  <si>
    <t>[D834485] 12. 순확정급여부채 | 12. Employee benefits</t>
  </si>
  <si>
    <t>손익계산서에 반영된 금액</t>
  </si>
  <si>
    <t>[D851100] 24. 영업으로부터 창출된 현금 | 24. Cash flow statement</t>
  </si>
  <si>
    <t>영업으로부터 창출된 현금</t>
  </si>
  <si>
    <t>현금의 유입과 유출이 없는 거래 중 중요한 사항</t>
  </si>
  <si>
    <t>[D851105] 18. 영업으로부터 창출된 현금 | 18. Cash flow statement</t>
  </si>
  <si>
    <t>종류별 주식의 권리 및 제한사항</t>
  </si>
  <si>
    <t>회사 발행 주식의 주요내역</t>
  </si>
  <si>
    <t>[D871100] 27. 영업부문 정보 | 27. Operating segments</t>
  </si>
  <si>
    <t>사업부문별 정보</t>
  </si>
  <si>
    <t>연결회사의 영업부문 및 주요내용</t>
  </si>
  <si>
    <t>ShortTermBorrowingsExcludingBondsOfDetailedInformationAboutShortTermBorrowingsOfDetailedInformationAboutShortTermBorrowingsTableOfItems</t>
  </si>
  <si>
    <t>단기차입금</t>
  </si>
  <si>
    <t>Short-term borrowings</t>
  </si>
  <si>
    <t>BasicEarningsLossPerShareNewPreferredStockOfEarningsPerShareAbstract</t>
  </si>
  <si>
    <t>신형우선주주당순이익</t>
  </si>
  <si>
    <t>Basic Earnings Loss Per Share New Preferred Stock</t>
  </si>
  <si>
    <t>DilutedEarningsLossPerShareNewPreferredStockOfEarningsPerShareAbstract</t>
  </si>
  <si>
    <t>신형우선주희석주당순이익</t>
  </si>
  <si>
    <t>Diluted Earnings Loss Per Share New Preferred Stock</t>
  </si>
  <si>
    <t>BasicEarningsLossPerShareOfNewPreferenceSharesOfEarningsPerShareAbstract</t>
  </si>
  <si>
    <t>Basic Earnings Loss Per Share Of New Preference Shares</t>
  </si>
  <si>
    <t>DilutedEarningsLossPerShareOfNewPreferenceSharesOfEarningsPerShareAbstract</t>
  </si>
  <si>
    <t>Diluted Earnings Loss Per Share Of New Preference Shares</t>
  </si>
  <si>
    <t>PurchaseOfOtherAssetsOfCashFlowsFromUsedInInvestingActivities</t>
  </si>
  <si>
    <t>기타자산의 취득</t>
  </si>
  <si>
    <t>Purchase Of Other Assets</t>
  </si>
  <si>
    <t>DecreaseInLiquidityDebenturesOfCashFlowsFromUsedInFinancingActivities</t>
  </si>
  <si>
    <t>유동성사채의 감소</t>
  </si>
  <si>
    <t>Decrease in liquidity debentures</t>
  </si>
  <si>
    <t>RepaymentsOfCurrentPortionOfNoncurrentLoansReceivedOfCashFlowsFromUsedInFinancingActivities</t>
  </si>
  <si>
    <t>유동성장기차입금의 감소</t>
  </si>
  <si>
    <t>Repayments Of Current Portion Of Noncurrent Loans Received</t>
  </si>
  <si>
    <t>IncreaseInSupplierFinanceAgreementsOfCashFlowsFromUsedInFinancingActivities</t>
  </si>
  <si>
    <t>공급자금융약정의 증가</t>
  </si>
  <si>
    <t>Increase in supplier finance agreements</t>
  </si>
  <si>
    <t>DecreaseInSupplierFinanceAgreementsOfCashFlowsFromUsedInFinancingActivities</t>
  </si>
  <si>
    <t>공급자금융약정의 감소</t>
  </si>
  <si>
    <t>Decrease in supplier finance agreements</t>
  </si>
  <si>
    <t>CashAndCashEquivalentsClassifiedAsPartOfDisposalGroupHeldForSaleOfStatementOfCashFlowsAbstract</t>
  </si>
  <si>
    <t>매각예정의 일부로 분류된 현금및현금성자산</t>
  </si>
  <si>
    <t>Cash and Cash Equivalents classified as part of disposal group held for sale</t>
  </si>
  <si>
    <t>NetIncreaseDecreaseOfShortTermFinancialAssetsOfCashFlowsFromUsedInInvestingActivities</t>
  </si>
  <si>
    <t>단기금융상품의 순증감</t>
  </si>
  <si>
    <t>Net increase (decrease) of short term financial assets</t>
  </si>
  <si>
    <t>SharesInJointVenturesAndAffiliatesOtherComprehensiveIncomeEtcOfStatementOfChangesInEquityLineItems</t>
  </si>
  <si>
    <t>공동기업 및 관계기업 기타포괄손익 등에 대한 지분</t>
  </si>
  <si>
    <t>Shares in joint ventures and affiliates' other comprehensive income, etc</t>
  </si>
  <si>
    <t>TradeReceivablesRecognisedAsOfAcquisitionDateOfIdentifiableAssetsAcquiredLiabilitiesAssumedOfDisclosureOfBusinessCombinationsTableOfItems</t>
  </si>
  <si>
    <t>매출채권</t>
  </si>
  <si>
    <t>Trade receivables</t>
  </si>
  <si>
    <t>OtherReceivablesRecognisedAsOfAcquisitionDateOfIdentifiableAssetsAcquiredLiabilitiesAssumedOfDisclosureOfBusinessCombinationsTableOfItems</t>
  </si>
  <si>
    <t>미수금</t>
  </si>
  <si>
    <t>Other receivables</t>
  </si>
  <si>
    <t>LoansRecognisedAsOfAcquisitionDateOfIdentifiableAssetsAcquiredLiabilitiesAssumedOfDisclosureOfBusinessCombinationsTableOfItems</t>
  </si>
  <si>
    <t>대여금</t>
  </si>
  <si>
    <t>Loans</t>
  </si>
  <si>
    <t>RightOfUseAssetsRecognisedAsOfAcquisitionDateOfIdentifiableAssetsAcquiredLiabilitiesAssumedOfDisclosureOfBusinessCombinationsTableOfItems</t>
  </si>
  <si>
    <t>사용권자산</t>
  </si>
  <si>
    <t>Right-of-use assets</t>
  </si>
  <si>
    <t>OtherAssetsRecognisedAsOfAcquisitionDateOfIdentifiableAssetsAcquiredLiabilitiesAssumedOfDisclosureOfBusinessCombinationsTableOfItems</t>
  </si>
  <si>
    <t>기타자산</t>
  </si>
  <si>
    <t>Other assets</t>
  </si>
  <si>
    <t>AccruedExpensesRecognisedAsOfAcquisitionDateOfIdentifiableAssetsAcquiredLiabilitiesAssumedOfDisclosureOfBusinessCombinationsTableOfItems</t>
  </si>
  <si>
    <t>미지급비용</t>
  </si>
  <si>
    <t>Accrued expenses</t>
  </si>
  <si>
    <t>WithholdingsRecognisedAsOfAcquisitionDateOfIdentifiableAssetsAcquiredLiabilitiesAssumedOfDisclosureOfBusinessCombinationsTableOfItems</t>
  </si>
  <si>
    <t>예수금</t>
  </si>
  <si>
    <t>Withholdings</t>
  </si>
  <si>
    <t>NetDefinedBenefitLiabilitiesRecognisedAsOfAcquisitionDateOfIdentifiableAssetsAcquiredLiabilitiesAssumedOfDisclosureOfBusinessCombinationsTableOfItems</t>
  </si>
  <si>
    <t>퇴직급여충당부채</t>
  </si>
  <si>
    <t>Net defined benefit liabilities</t>
  </si>
  <si>
    <t>LeaseLiabilitiesRecognisedAsOfAcquisitionDateOfIdentifiableAssetsAcquiredLiabilitiesAssumedOfDisclosureOfBusinessCombinationsTableOfItems</t>
  </si>
  <si>
    <t>리스부채</t>
  </si>
  <si>
    <t>Lease liabilities</t>
  </si>
  <si>
    <t>FinancialLiabilitiesAtFairValueThroughProfitOrLossRecognisedAsOfAcquisitionDateOfIdentifiableAssetsAcquiredLiabilitiesAssumedOfDisclosureOfBusinessCombinationsTableOfItems</t>
  </si>
  <si>
    <t>당기손익-공정가치측정금융부채</t>
  </si>
  <si>
    <t>Financial liabilities at fair value through profit or loss</t>
  </si>
  <si>
    <t>OtherLiabilitiesRecognisedAsOfAcquisitionDateOfIdentifiableAssetsAcquiredLiabilitiesAssumedOfDisclosureOfBusinessCombinationsTableOfItems</t>
  </si>
  <si>
    <t>기타부채</t>
  </si>
  <si>
    <t>Other liabilities</t>
  </si>
  <si>
    <t>LeaseLiabilitiesRelatedPartyTransactionsOfDisclosureOfOutstandingBalancesForRelatedPartyTransactionsLineItemsOfDisclosureOfOutstandingBalancesForRelatedPartyTransactionsTableOfItems</t>
  </si>
  <si>
    <t>DividendIncomeCapitalReductionRelatedpartytransactionsOfDisclosureOfFinancialTransactionsBetweenRelatedPartiesLineItemsOfDisclosureOfFinancialTransactionsBetweenRelatedPartiesTableOfItems</t>
  </si>
  <si>
    <t>배당수입/감자</t>
  </si>
  <si>
    <t>Dividend Income / Capital Reduction, Related PartyTransactions</t>
  </si>
  <si>
    <t>DividendsPaidRelatedpartytransactionsOfDisclosureOfFinancialTransactionsBetweenRelatedPartiesLineItemsOfDisclosureOfFinancialTransactionsBetweenRelatedPartiesTableOfItems</t>
  </si>
  <si>
    <t>배당지급</t>
  </si>
  <si>
    <t>Dividends paid, Related PartyTransactions</t>
  </si>
  <si>
    <t>OtherRevenueRelatedPartyTransactionsOfDisclosureOfTransactionsBetweenRelatedPartiesLineItemsOfDisclosureOfTransactionsBetweenRelatedPartiesTableOfItems</t>
  </si>
  <si>
    <t>기타수익 등</t>
  </si>
  <si>
    <t>Other revenue. etc</t>
  </si>
  <si>
    <t>OtherCostRelatedPartyTransactionsOfDisclosureOfTransactionsBetweenRelatedPartiesLineItemsOfDisclosureOfTransactionsBetweenRelatedPartiesTableOfItems</t>
  </si>
  <si>
    <t>기타비용 등</t>
  </si>
  <si>
    <t>Other cost. etc</t>
  </si>
  <si>
    <t>AmountsOtherReceivableRelatedPartyTransactionsOfDisclosureOfOutstandingBalancesForRelatedPartyTransactionsLineItemsOfDisclosureOfOutstandingBalancesForRelatedPartyTransactionsTableOfItems</t>
  </si>
  <si>
    <t>기타채권 등</t>
  </si>
  <si>
    <t>Other receivable, etc</t>
  </si>
  <si>
    <t>AmountsOtherPayableRelatedPartyTransactionsOfDisclosureOfOutstandingBalancesForRelatedPartyTransactionsLineItemsOfDisclosureOfOutstandingBalancesForRelatedPartyTransactionsTableOfItems</t>
  </si>
  <si>
    <t>기타채무 등</t>
  </si>
  <si>
    <t>Other payable. etc</t>
  </si>
  <si>
    <t>DividendsReceivedFromRelatedPartiesOfDisclosureOfFinancialTransactionsBetweenRelatedPartiesLineItemsOfDisclosureOfFinancialTransactionsBetweenRelatedPartiesTableOfItems</t>
  </si>
  <si>
    <t>배당 수입</t>
  </si>
  <si>
    <t>Dividends Received From Related Parties</t>
  </si>
  <si>
    <t>ReplacementWithIntangibleAssetsPropertyPlantAndEquipmentOfDisclosureofpropertyplantandequipmentlineitemsOfDisclosureOfPropertyPlantAndEquipmentTableOfItems</t>
  </si>
  <si>
    <t>무형자산 대체</t>
  </si>
  <si>
    <t>Replacement with intangible assets</t>
  </si>
  <si>
    <t>Short Term Borrowings Excluding Bonds</t>
  </si>
  <si>
    <t>ExpirationWithinOneYearCurrentLongTermLoansOfDisclosureOfDetailedInformationAboutBorrowingsLineItemsOfDetailedInformationAboutBorrowingsTableOfItems</t>
  </si>
  <si>
    <t>1년이내 만기 도래분(유동성장기차입금)</t>
  </si>
  <si>
    <t>Expiration within one year (current long-term loans)</t>
  </si>
  <si>
    <t>ShortTermDividendReceivablesNetOfDisclosureOfOtherReceivablesLineItemsOfDisclosureOfOtherReceivablesTableOfItems</t>
  </si>
  <si>
    <t>미수배당금</t>
  </si>
  <si>
    <t>Short-term dividend receivables</t>
  </si>
  <si>
    <t>DetailsOfTheContentsOfVariationOfLevel3OfRepeatedMeasurementsOfFairValueFinancialAssetsOfVariationOfLevel3OfRepeatedMeasurementsOfFairValueFinancialAssetsTableOfItems</t>
  </si>
  <si>
    <t>구성내역에 대한 설명</t>
  </si>
  <si>
    <t>Details of the contents</t>
  </si>
  <si>
    <t>DetailsOfTheContentsOfVariationOfLevel3OfRepeatedMeasurementsOfFairValueFinancialLiabilitiesOfVariationOfLevel3OfRepeatedMeasurementsOfFairValueFinancialLiabilitiesTableOfItems</t>
  </si>
  <si>
    <t>OtherAssetsAndLiablitiesClassifiedAsHeldForSaleLineItemsOfDisclosureOfOtherAssetsAndLiabilitiesHeldForSaleTableOfLineItems</t>
  </si>
  <si>
    <t>기타 매각예정자산 및 부채의 내역 [ 항목 ]</t>
  </si>
  <si>
    <t>Other assets and liablities classified as held for sale [line items]</t>
  </si>
  <si>
    <t>CostOfInventoriesAndBiologicalAssetsRecognizedAsExpenseOfCostOfInventoriesRecognisedAsExpenseOfCostOfInventoriesRecognisedAsExpenseTableOfItems</t>
  </si>
  <si>
    <t>비용으로 인식된 재고자산 및 생물자산의 원가</t>
  </si>
  <si>
    <t>Cost of inventories and biological assets recognized as expense</t>
  </si>
  <si>
    <t>NameOfEntitiesProvidedWithGuaranteeOfDisclosureOfContingentLiabilitiesForGuaranteesNonPfLineItemsOfDisclosureOfContingentLiabilitiesForGuaranteesNonPFTableOfItems</t>
  </si>
  <si>
    <t>지급보증 제공한 회사</t>
  </si>
  <si>
    <t>Name of entities provide guarantee</t>
  </si>
  <si>
    <t>NameOfCollateralProviderOfCollateralProvidedOfDetailsOfCollateralProvidedTableOfItems</t>
  </si>
  <si>
    <t>회사명</t>
  </si>
  <si>
    <t>Name Of Collateral Provider</t>
  </si>
  <si>
    <t>CollateralizedAmountOfCollateralProvidedOfCollateralProvidedTableOfItems</t>
  </si>
  <si>
    <t>담보설정금액</t>
  </si>
  <si>
    <t>Collateralized Amount</t>
  </si>
  <si>
    <t>DisclosureOfGeographicalDivisionOfRevenueFromContractsWithCustomersLocationOfDisclosureOfGeographicalDivisionOfRevenueFromContractsWithCustomersLocationTableOfLineItems</t>
  </si>
  <si>
    <t>수익</t>
  </si>
  <si>
    <t>Revenue from contracts with customers</t>
  </si>
  <si>
    <t>RevenueFromOtherSourcesOfDisclosureOfDisaggregationOfRevenueFromContractsWithCustomersLineItemsOfDisclosureOfDisaggregationOfRevenueFromContractsWithCustomersTableOfItems</t>
  </si>
  <si>
    <t>기타 원천으로부터의 수익 : 배당수익 및 임대료수익</t>
  </si>
  <si>
    <t>Income from other sources: Dividend income and rental income</t>
  </si>
  <si>
    <t>IncreaseDecreaseThroughNetExchangeDifferencesRightOfUseAssetsOfDisclosureOfQuantitativeInformationAboutRightOfUseAssetsLineItemsOfDisclosureOfQuantitativeInformationAboutRightofuseAssetsTableOfItems</t>
  </si>
  <si>
    <t>환율변동효과</t>
  </si>
  <si>
    <t>Effect of foreign currency translation</t>
  </si>
  <si>
    <t>DecreaseDueToRepaymentsLeaseLiabilitiesOfDisclosureOfQuantitativeInformationAboutLeaseLiabilitiesLineItemsOfDisclosureOfQuantitativeInformationAboutLeaseLiabilitiesTableOfItems</t>
  </si>
  <si>
    <t>리스부채의 상환</t>
  </si>
  <si>
    <t>Decrease due to repayments lease liabilities</t>
  </si>
  <si>
    <t>IncreaseDecreaseThroughNetExchangeDifferencesLeaseLiabilitiesOfDisclosureOfQuantitativeInformationAboutLeaseLiabilitiesLineItemsOfDisclosureOfQuantitativeInformationAboutLeaseLiabilitiesTableOfItems</t>
  </si>
  <si>
    <t>Increase (decrease) through net exchange differences, lease liabilities</t>
  </si>
  <si>
    <t>RawMaterialsSubMaterialsBiologicalAssetsAndCostOfMerchandisePurchasedOfExpenseByNatureLineItemsOfExpenseByNatureTableOfItems</t>
  </si>
  <si>
    <t>원재료, 부재료, 생물자산 및 상품 매입액</t>
  </si>
  <si>
    <t>Raw materials, sub-materials, biological assets and cost of merchandise purchased</t>
  </si>
  <si>
    <t>ChangesInInventoriesAndBiologicalAssetsOfExpenseByNatureLineItemsOfExpenseByNatureTableOfItems</t>
  </si>
  <si>
    <t>재고자산 및 생물자산의 변동</t>
  </si>
  <si>
    <t>Changes in inventories and biological assets</t>
  </si>
  <si>
    <t>ScreeningPremiumOfExpenseByNatureLineItemsOfExpenseByNatureTableOfItems</t>
  </si>
  <si>
    <t>상영부금</t>
  </si>
  <si>
    <t>Screening premium</t>
  </si>
  <si>
    <t>RightOfUseAssetsDepreciationSellingAndGeneralAdministrativeExpensesOfSellingGeneralAndAdministrativeExpenseLineItemsOfSellingGeneralAndAdministrativeExpensesTableOfItems</t>
  </si>
  <si>
    <t>사용권자산상각비</t>
  </si>
  <si>
    <t>Right-of-use assets depreciation</t>
  </si>
  <si>
    <t>SalesCommissionSellingAndAdministrativeExpensesOfSellingGeneralAndAdministrativeExpenseLineItemsOfSellingGeneralAndAdministrativeExpensesTableOfItems</t>
  </si>
  <si>
    <t>판매수수료</t>
  </si>
  <si>
    <t>Sales commission</t>
  </si>
  <si>
    <t>MiscellaneousExpensesSellingGeneralAndAdministrativeExpenseOfSellingGeneralAndAdministrativeExpenseLineItemsOfSellingGeneralAndAdministrativeExpensesTableOfItems</t>
  </si>
  <si>
    <t>잡비</t>
  </si>
  <si>
    <t>Miscellaneous expenses</t>
  </si>
  <si>
    <t>AdjustmentsForDerivativeGainOfAdjustmentsToReconcileProfitLossOfCashFlowsFromUsedInOperatingActivitiesTableOfItems</t>
  </si>
  <si>
    <t>파생상품이익</t>
  </si>
  <si>
    <t>Adjustments for Derivative Gain</t>
  </si>
  <si>
    <t>AdjustmentsForDerivativeLossOfAdjustmentsToReconcileProfitLossOfCashFlowsFromUsedInOperatingActivitiesTableOfItems</t>
  </si>
  <si>
    <t>파생상품손실</t>
  </si>
  <si>
    <t>Adjustments for Derivative Loss</t>
  </si>
  <si>
    <t>AdjustmentsForRightOfUseAssetDisposalGainOfAdjustmentsToReconcileProfitLossOfCashFlowsFromUsedInOperatingActivitiesTableOfItems</t>
  </si>
  <si>
    <t>사용권자산처분이익</t>
  </si>
  <si>
    <t>Adjustments for Right-of-Use Asset Disposal Gain</t>
  </si>
  <si>
    <t>TransferFromConstructionInProgressToTangibleAssetsOfSignificantTransactionsNotAffectingCashFlowsOfExplanationOfInvestingAndFinancingTransactionsNotRequireUseOfCashOrCashEquivalentsTableOfItems</t>
  </si>
  <si>
    <t>건설중인자산의 본계정 대체</t>
  </si>
  <si>
    <t>Transfer from Construction in Progress to Tangible Assets</t>
  </si>
  <si>
    <t>ChangeOfPayablesRelatedToAcquiredPropertyPlantAndEquipmentOfExplanationOfInvestingAndFinancingTransactionsNotRequireUseOfCashOrCashEquivalentsOfExplanationOfInvestingAndFinancingTransactionsNotRequireUseOfCashOrCashEquivalentsTableOfItems</t>
  </si>
  <si>
    <t>유형자산 취득 관련 미지급금의 증감</t>
  </si>
  <si>
    <t>Change Of Payables Related To Acquired Property Plant And Equipment</t>
  </si>
  <si>
    <t>ChangeOfPayablesRelatedToAcquiredIntangibleAssetsAndGoodwillOfExplanationOfInvestingAndFinancingTransactionsNotRequireUseOfCashOrCashEquivalentsOfExplanationOfInvestingAndFinancingTransactionsNotRequireUseOfCashOrCashEquivalentsTableOfItems</t>
  </si>
  <si>
    <t>무형자산 취득 관련 미지급금의 증감</t>
  </si>
  <si>
    <t>Change Of Payables Related To Acquired Intangible Assets And Goodwill</t>
  </si>
  <si>
    <t>NewContractOfLeaseAgreementOfExplanationOfInvestingAndFinancingTransactionsNotRequireUseOfCashOrCashEquivalentsOfExplanationOfInvestingAndFinancingTransactionsNotRequireUseOfCashOrCashEquivalentsTableOfItems</t>
  </si>
  <si>
    <t>리스계약의 신규 체결</t>
  </si>
  <si>
    <t>New contract of lease agreement</t>
  </si>
  <si>
    <t>AdjustmentsForDecreaseIncreaseInOtherNonCurrentAssetsOfAdjustmentsForAssetsAndLiabilitiesOfOperatingActivitiesOfCashFlowsFromUsedInOperatingActivitiesTableOfItems</t>
  </si>
  <si>
    <t>기타비유동자산</t>
  </si>
  <si>
    <t>Adjustments for decrease (increase) in other non-current assets</t>
  </si>
  <si>
    <t>TransferFromTangibleAssetsToConstructionInProgressOfSignificantTransactionsNotAffectingCashFlowsOfExplanationOfInvestingAndFinancingTransactionsNotRequireUseOfCashOrCashEquivalentsTableOfItems</t>
  </si>
  <si>
    <t>유형자산의 투자부동산 대체</t>
  </si>
  <si>
    <t>Transfer from Tangible Assets to Construction in Progress</t>
  </si>
  <si>
    <t>LiquidityReplacementOfNonCurrentBondsOfSignificantTransactionsNotAffectingCashFlowsOfExplanationOfInvestingAndFinancingTransactionsNotRequireUseOfCashOrCashEquivalentsTableOfItems</t>
  </si>
  <si>
    <t>사채의 유동성 대체</t>
  </si>
  <si>
    <t>Liquidity replacement of Non-current bonds</t>
  </si>
  <si>
    <t>DescriptionOfIssuedCapitalOfDisclosureOfClassesOfShareCapitalLineItemsOfDisclosureOfClassesOfShareCapitalTableOfItems</t>
  </si>
  <si>
    <t>자본금에 대한 기술</t>
  </si>
  <si>
    <t>Description of issued capital</t>
  </si>
  <si>
    <t>DescriptionOfDividendsPaidOfDisclosureOfDividendsPaidLineItemsOfDisclosureOfDividendsPaidTableOfItems</t>
  </si>
  <si>
    <t>지급된 배당금에 대한 기술</t>
  </si>
  <si>
    <t>Description of Dividends paid</t>
  </si>
  <si>
    <t>CostOfSales</t>
  </si>
  <si>
    <t>매출원가</t>
  </si>
  <si>
    <t>Cost of sales</t>
  </si>
  <si>
    <t>-</t>
  </si>
  <si>
    <t>negate</t>
  </si>
  <si>
    <t>TotalSellingGeneralAdministrativeExpenses</t>
  </si>
  <si>
    <t>Selling general administrative expenses</t>
  </si>
  <si>
    <t>FinanceCosts</t>
  </si>
  <si>
    <t>금융비용</t>
  </si>
  <si>
    <t>Finance Costs</t>
  </si>
  <si>
    <t>IncomeTaxExpenseContinuingOperations</t>
  </si>
  <si>
    <t>법인세비용</t>
  </si>
  <si>
    <t>Tax expense</t>
  </si>
  <si>
    <t>DividendsPaidToNoncontrollingInterestsClassifiedAsFinancingActivities</t>
  </si>
  <si>
    <t>비지배지분에 대한 배당</t>
  </si>
  <si>
    <t>Dividends paid to non-controlling interests, classified as financing activities</t>
  </si>
  <si>
    <t>DecreaseThroughWriteoffFinancialAssets</t>
  </si>
  <si>
    <t>제각</t>
  </si>
  <si>
    <t>Write-off</t>
  </si>
  <si>
    <t>ImpairmentLossRecognisedInProfitOrLossPropertyPlantAndEquipment</t>
  </si>
  <si>
    <t>손상차손</t>
  </si>
  <si>
    <t>Impairment loss</t>
  </si>
  <si>
    <t>DecreaseDueToTerminationOrCancellationOfLeaseContractsLeaseLiabilities</t>
  </si>
  <si>
    <t>계약조정/해지</t>
  </si>
  <si>
    <t>Decrease due to termination or cancellation of lease contracts lease liabilities</t>
  </si>
  <si>
    <t>DepreciationInvestmentProperty</t>
  </si>
  <si>
    <t>감가상각비</t>
  </si>
  <si>
    <t>DepreciationExpense</t>
  </si>
  <si>
    <t>CurrentBondsIssuedAndCurrentPortionOfNoncurrentBondsIssued</t>
  </si>
  <si>
    <t>1년 이내 만기도래분(유동성장기사채)</t>
  </si>
  <si>
    <t>Current bonds issued and current portion of non-current bonds issued</t>
  </si>
  <si>
    <t>PlanAssetsAtFairValue</t>
  </si>
  <si>
    <t>사외적립자산의 공정가치</t>
  </si>
  <si>
    <t>Fair value of plan assets</t>
  </si>
  <si>
    <t>OperatingExpense</t>
  </si>
  <si>
    <t>영업비용</t>
  </si>
  <si>
    <t>Operating expenses</t>
  </si>
  <si>
    <t>Income tax expense</t>
  </si>
  <si>
    <t>RepaymentsOfCurrentBorrowings</t>
  </si>
  <si>
    <t>유동성장기차입금의 상환</t>
  </si>
  <si>
    <t>Repayments of current borrowings</t>
  </si>
  <si>
    <t>Depreciation, investment property</t>
  </si>
  <si>
    <t>AdjustmentsForDividendIncome</t>
  </si>
  <si>
    <t>배당금수익</t>
  </si>
  <si>
    <t>Dividend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</si>
</sst>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Arial"/>
      <family val="2"/>
    </font>
    <font>
      <b/>
      <sz val="14"/>
      <color rgb="FFFFC000"/>
      <name val="Arial"/>
      <family val="2"/>
    </font>
    <font>
      <b/>
      <sz val="14"/>
      <color theme="0"/>
      <name val="맑은 고딕"/>
      <family val="3"/>
      <charset val="129"/>
      <scheme val="minor"/>
    </font>
    <font>
      <i/>
      <u/>
      <sz val="11"/>
      <color rgb="FFFF0000"/>
      <name val="맑은 고딕"/>
      <family val="3"/>
      <charset val="129"/>
      <scheme val="minor"/>
    </font>
    <font>
      <b/>
      <i/>
      <u/>
      <sz val="11"/>
      <color rgb="FFFF0000"/>
      <name val="맑은 고딕"/>
      <family val="3"/>
      <charset val="129"/>
      <scheme val="minor"/>
    </font>
    <font>
      <b/>
      <sz val="10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u/>
      <sz val="10"/>
      <color rgb="FFFF0000"/>
      <name val="함초롬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FFC000"/>
      <name val="함초롬돋움"/>
      <family val="3"/>
      <charset val="129"/>
    </font>
    <font>
      <sz val="10"/>
      <name val="함초롬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0"/>
      <color theme="3"/>
      <name val="맑은 고딕"/>
      <family val="3"/>
      <charset val="129"/>
      <scheme val="major"/>
    </font>
    <font>
      <u/>
      <sz val="10"/>
      <color rgb="FFFF0000"/>
      <name val="맑은 고딕"/>
      <family val="2"/>
      <charset val="129"/>
      <scheme val="minor"/>
    </font>
    <font>
      <sz val="8"/>
      <name val="나눔고딕"/>
      <family val="3"/>
      <charset val="129"/>
    </font>
    <font>
      <sz val="10"/>
      <color theme="1"/>
      <name val="Arial"/>
      <family val="2"/>
    </font>
    <font>
      <b/>
      <sz val="10"/>
      <color rgb="FFFFC000"/>
      <name val="Arial"/>
      <family val="2"/>
    </font>
    <font>
      <i/>
      <sz val="10"/>
      <color rgb="FFFF0000"/>
      <name val="맑은 고딕"/>
      <family val="3"/>
      <charset val="129"/>
      <scheme val="minor"/>
    </font>
    <font>
      <b/>
      <i/>
      <u/>
      <sz val="10"/>
      <color rgb="FFFF0000"/>
      <name val="맑은 고딕"/>
      <family val="3"/>
      <charset val="129"/>
      <scheme val="minor"/>
    </font>
    <font>
      <i/>
      <u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</cellStyleXfs>
  <cellXfs count="143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1" xfId="0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8" fillId="2" borderId="5" xfId="0" applyFont="1" applyFill="1" applyBorder="1" applyAlignment="1" applyProtection="1">
      <alignment horizontal="centerContinuous" vertical="center"/>
      <protection locked="0"/>
    </xf>
    <xf numFmtId="0" fontId="6" fillId="2" borderId="6" xfId="0" applyFont="1" applyFill="1" applyBorder="1" applyAlignment="1" applyProtection="1">
      <alignment horizontal="centerContinuous" vertical="center"/>
      <protection locked="0"/>
    </xf>
    <xf numFmtId="0" fontId="7" fillId="3" borderId="6" xfId="0" applyFont="1" applyFill="1" applyBorder="1" applyAlignment="1" applyProtection="1">
      <alignment horizontal="centerContinuous" vertical="center"/>
      <protection locked="0"/>
    </xf>
    <xf numFmtId="0" fontId="11" fillId="4" borderId="7" xfId="0" applyFont="1" applyFill="1" applyBorder="1" applyAlignment="1">
      <alignment horizontal="center" vertical="center"/>
    </xf>
    <xf numFmtId="0" fontId="11" fillId="4" borderId="7" xfId="0" applyFont="1" applyFill="1" applyBorder="1">
      <alignment vertical="center"/>
    </xf>
    <xf numFmtId="0" fontId="0" fillId="0" borderId="0" xfId="0" applyAlignment="1"/>
    <xf numFmtId="41" fontId="16" fillId="0" borderId="22" xfId="1" applyFont="1" applyFill="1" applyBorder="1" applyAlignment="1">
      <alignment vertical="center"/>
    </xf>
    <xf numFmtId="41" fontId="12" fillId="0" borderId="25" xfId="1" applyFont="1" applyFill="1" applyBorder="1" applyAlignment="1">
      <alignment horizontal="center" vertical="center"/>
    </xf>
    <xf numFmtId="41" fontId="12" fillId="0" borderId="25" xfId="1" applyFont="1" applyFill="1" applyBorder="1" applyAlignment="1">
      <alignment vertical="center"/>
    </xf>
    <xf numFmtId="41" fontId="12" fillId="0" borderId="26" xfId="1" applyFont="1" applyFill="1" applyBorder="1" applyAlignment="1">
      <alignment vertical="center"/>
    </xf>
    <xf numFmtId="41" fontId="16" fillId="0" borderId="27" xfId="1" applyFont="1" applyFill="1" applyBorder="1" applyAlignment="1">
      <alignment vertical="center"/>
    </xf>
    <xf numFmtId="41" fontId="16" fillId="0" borderId="21" xfId="1" applyFont="1" applyFill="1" applyBorder="1" applyAlignment="1">
      <alignment vertical="center"/>
    </xf>
    <xf numFmtId="0" fontId="12" fillId="0" borderId="15" xfId="0" applyFont="1" applyBorder="1" applyAlignment="1">
      <alignment horizontal="left" vertical="center" wrapText="1"/>
    </xf>
    <xf numFmtId="0" fontId="17" fillId="4" borderId="7" xfId="0" applyFont="1" applyFill="1" applyBorder="1">
      <alignment vertical="center"/>
    </xf>
    <xf numFmtId="0" fontId="18" fillId="4" borderId="7" xfId="0" applyFont="1" applyFill="1" applyBorder="1">
      <alignment vertical="center"/>
    </xf>
    <xf numFmtId="0" fontId="18" fillId="0" borderId="18" xfId="0" applyFont="1" applyBorder="1">
      <alignment vertical="center"/>
    </xf>
    <xf numFmtId="0" fontId="18" fillId="0" borderId="19" xfId="0" applyFont="1" applyBorder="1">
      <alignment vertical="center"/>
    </xf>
    <xf numFmtId="0" fontId="18" fillId="0" borderId="25" xfId="0" applyFont="1" applyBorder="1">
      <alignment vertical="center"/>
    </xf>
    <xf numFmtId="0" fontId="18" fillId="0" borderId="15" xfId="0" applyFont="1" applyBorder="1">
      <alignment vertical="center"/>
    </xf>
    <xf numFmtId="0" fontId="18" fillId="0" borderId="16" xfId="0" applyFont="1" applyBorder="1">
      <alignment vertical="center"/>
    </xf>
    <xf numFmtId="0" fontId="18" fillId="0" borderId="26" xfId="0" applyFont="1" applyBorder="1">
      <alignment vertical="center"/>
    </xf>
    <xf numFmtId="0" fontId="17" fillId="4" borderId="7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right" vertical="center"/>
    </xf>
    <xf numFmtId="0" fontId="11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0" fillId="5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7" fillId="0" borderId="25" xfId="0" applyFont="1" applyBorder="1" applyAlignment="1">
      <alignment horizontal="center" vertical="center"/>
    </xf>
    <xf numFmtId="0" fontId="11" fillId="6" borderId="0" xfId="0" applyFont="1" applyFill="1">
      <alignment vertical="center"/>
    </xf>
    <xf numFmtId="0" fontId="19" fillId="0" borderId="31" xfId="2" applyFont="1" applyBorder="1" applyAlignment="1">
      <alignment horizontal="center" vertical="center"/>
    </xf>
    <xf numFmtId="0" fontId="19" fillId="0" borderId="13" xfId="2" applyFont="1" applyBorder="1" applyAlignment="1">
      <alignment horizontal="center" vertical="center"/>
    </xf>
    <xf numFmtId="0" fontId="19" fillId="0" borderId="18" xfId="2" applyFont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9" fillId="0" borderId="18" xfId="2" applyFont="1" applyFill="1" applyBorder="1" applyAlignment="1">
      <alignment horizontal="center" vertical="center"/>
    </xf>
    <xf numFmtId="41" fontId="12" fillId="0" borderId="15" xfId="1" applyFont="1" applyFill="1" applyBorder="1" applyAlignment="1">
      <alignment horizontal="left" vertical="center" wrapText="1"/>
    </xf>
    <xf numFmtId="0" fontId="19" fillId="0" borderId="13" xfId="2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0" borderId="23" xfId="2" applyFont="1" applyBorder="1" applyAlignment="1">
      <alignment horizontal="center" vertical="center"/>
    </xf>
    <xf numFmtId="0" fontId="22" fillId="0" borderId="31" xfId="2" applyFont="1" applyBorder="1" applyAlignment="1">
      <alignment horizontal="center" vertical="center"/>
    </xf>
    <xf numFmtId="0" fontId="22" fillId="0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2" fillId="0" borderId="13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41" fontId="12" fillId="0" borderId="8" xfId="1" applyFont="1" applyFill="1" applyBorder="1" applyAlignment="1">
      <alignment vertical="center"/>
    </xf>
    <xf numFmtId="0" fontId="18" fillId="0" borderId="11" xfId="0" applyFont="1" applyBorder="1">
      <alignment vertical="center"/>
    </xf>
    <xf numFmtId="0" fontId="12" fillId="0" borderId="11" xfId="1" applyNumberFormat="1" applyFont="1" applyFill="1" applyBorder="1" applyAlignment="1">
      <alignment vertical="top"/>
    </xf>
    <xf numFmtId="0" fontId="18" fillId="0" borderId="12" xfId="0" applyFont="1" applyBorder="1">
      <alignment vertical="center"/>
    </xf>
    <xf numFmtId="41" fontId="12" fillId="0" borderId="9" xfId="1" applyFont="1" applyFill="1" applyBorder="1" applyAlignment="1">
      <alignment vertical="center"/>
    </xf>
    <xf numFmtId="0" fontId="18" fillId="0" borderId="13" xfId="0" applyFont="1" applyBorder="1">
      <alignment vertical="center"/>
    </xf>
    <xf numFmtId="0" fontId="12" fillId="0" borderId="13" xfId="1" applyNumberFormat="1" applyFont="1" applyFill="1" applyBorder="1" applyAlignment="1">
      <alignment horizontal="left" vertical="top"/>
    </xf>
    <xf numFmtId="0" fontId="18" fillId="0" borderId="14" xfId="0" applyFont="1" applyBorder="1">
      <alignment vertical="center"/>
    </xf>
    <xf numFmtId="41" fontId="12" fillId="0" borderId="10" xfId="1" applyFont="1" applyFill="1" applyBorder="1" applyAlignment="1">
      <alignment vertical="center"/>
    </xf>
    <xf numFmtId="0" fontId="12" fillId="0" borderId="13" xfId="0" applyFont="1" applyBorder="1" applyAlignment="1">
      <alignment horizontal="left" vertical="top"/>
    </xf>
    <xf numFmtId="0" fontId="12" fillId="0" borderId="15" xfId="1" applyNumberFormat="1" applyFont="1" applyFill="1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41" fontId="16" fillId="0" borderId="8" xfId="1" applyFont="1" applyFill="1" applyBorder="1" applyAlignment="1">
      <alignment vertical="center"/>
    </xf>
    <xf numFmtId="0" fontId="18" fillId="0" borderId="29" xfId="0" applyFont="1" applyBorder="1">
      <alignment vertical="center"/>
    </xf>
    <xf numFmtId="41" fontId="16" fillId="0" borderId="9" xfId="1" applyFont="1" applyFill="1" applyBorder="1" applyAlignment="1">
      <alignment vertical="center"/>
    </xf>
    <xf numFmtId="0" fontId="18" fillId="0" borderId="23" xfId="0" applyFont="1" applyBorder="1">
      <alignment vertical="center"/>
    </xf>
    <xf numFmtId="41" fontId="12" fillId="0" borderId="18" xfId="1" applyFont="1" applyFill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41" fontId="16" fillId="0" borderId="30" xfId="1" applyFont="1" applyFill="1" applyBorder="1" applyAlignment="1">
      <alignment vertical="center"/>
    </xf>
    <xf numFmtId="0" fontId="18" fillId="0" borderId="0" xfId="0" applyFont="1">
      <alignment vertical="center"/>
    </xf>
    <xf numFmtId="41" fontId="12" fillId="0" borderId="0" xfId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8" xfId="1" applyNumberFormat="1" applyFont="1" applyFill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41" fontId="16" fillId="0" borderId="33" xfId="1" applyFont="1" applyFill="1" applyBorder="1" applyAlignment="1">
      <alignment vertical="center"/>
    </xf>
    <xf numFmtId="0" fontId="18" fillId="0" borderId="31" xfId="0" applyFont="1" applyBorder="1">
      <alignment vertical="center"/>
    </xf>
    <xf numFmtId="0" fontId="4" fillId="0" borderId="0" xfId="0" applyFont="1" applyAlignment="1"/>
    <xf numFmtId="0" fontId="22" fillId="0" borderId="13" xfId="2" applyFont="1" applyFill="1" applyBorder="1" applyAlignment="1">
      <alignment horizontal="center" vertical="center"/>
    </xf>
    <xf numFmtId="0" fontId="20" fillId="0" borderId="0" xfId="0" applyFont="1">
      <alignment vertical="center"/>
    </xf>
    <xf numFmtId="41" fontId="12" fillId="0" borderId="20" xfId="1" applyFont="1" applyFill="1" applyBorder="1" applyAlignment="1">
      <alignment vertical="center"/>
    </xf>
    <xf numFmtId="41" fontId="12" fillId="0" borderId="21" xfId="1" applyFont="1" applyFill="1" applyBorder="1" applyAlignment="1">
      <alignment vertical="center"/>
    </xf>
    <xf numFmtId="0" fontId="7" fillId="3" borderId="1" xfId="0" applyFont="1" applyFill="1" applyBorder="1" applyAlignment="1" applyProtection="1">
      <alignment horizontal="centerContinuous" vertical="center"/>
      <protection locked="0"/>
    </xf>
    <xf numFmtId="0" fontId="12" fillId="0" borderId="13" xfId="1" applyNumberFormat="1" applyFont="1" applyFill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41" fontId="16" fillId="0" borderId="36" xfId="1" applyFont="1" applyFill="1" applyBorder="1" applyAlignment="1">
      <alignment vertical="center"/>
    </xf>
    <xf numFmtId="0" fontId="18" fillId="0" borderId="37" xfId="0" applyFont="1" applyBorder="1">
      <alignment vertical="center"/>
    </xf>
    <xf numFmtId="41" fontId="12" fillId="0" borderId="13" xfId="1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22" fillId="0" borderId="0" xfId="2" applyFont="1" applyBorder="1" applyAlignment="1">
      <alignment horizontal="center" vertical="center"/>
    </xf>
    <xf numFmtId="0" fontId="24" fillId="2" borderId="6" xfId="0" applyFont="1" applyFill="1" applyBorder="1" applyAlignment="1" applyProtection="1">
      <alignment horizontal="centerContinuous" vertical="center"/>
      <protection locked="0"/>
    </xf>
    <xf numFmtId="0" fontId="25" fillId="3" borderId="6" xfId="0" applyFont="1" applyFill="1" applyBorder="1" applyAlignment="1" applyProtection="1">
      <alignment horizontal="centerContinuous" vertical="center"/>
      <protection locked="0"/>
    </xf>
    <xf numFmtId="0" fontId="18" fillId="2" borderId="1" xfId="0" applyFont="1" applyFill="1" applyBorder="1">
      <alignment vertical="center"/>
    </xf>
    <xf numFmtId="0" fontId="17" fillId="0" borderId="0" xfId="0" applyFont="1">
      <alignment vertical="center"/>
    </xf>
    <xf numFmtId="0" fontId="26" fillId="4" borderId="2" xfId="0" applyFont="1" applyFill="1" applyBorder="1">
      <alignment vertical="center"/>
    </xf>
    <xf numFmtId="0" fontId="18" fillId="4" borderId="3" xfId="0" applyFont="1" applyFill="1" applyBorder="1">
      <alignment vertical="center"/>
    </xf>
    <xf numFmtId="0" fontId="18" fillId="4" borderId="4" xfId="0" applyFont="1" applyFill="1" applyBorder="1">
      <alignment vertical="center"/>
    </xf>
    <xf numFmtId="0" fontId="29" fillId="0" borderId="0" xfId="0" applyFont="1">
      <alignment vertical="center"/>
    </xf>
    <xf numFmtId="0" fontId="18" fillId="6" borderId="0" xfId="0" applyFont="1" applyFill="1">
      <alignment vertical="center"/>
    </xf>
    <xf numFmtId="0" fontId="19" fillId="0" borderId="22" xfId="2" applyFont="1" applyBorder="1" applyAlignment="1">
      <alignment horizontal="center" vertical="center"/>
    </xf>
    <xf numFmtId="0" fontId="30" fillId="0" borderId="0" xfId="0" applyFont="1">
      <alignment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41" fontId="12" fillId="0" borderId="34" xfId="1" applyFont="1" applyFill="1" applyBorder="1" applyAlignment="1">
      <alignment horizontal="center" vertical="center"/>
    </xf>
    <xf numFmtId="41" fontId="12" fillId="0" borderId="35" xfId="1" applyFont="1" applyFill="1" applyBorder="1" applyAlignment="1">
      <alignment horizontal="center" vertical="center"/>
    </xf>
    <xf numFmtId="41" fontId="12" fillId="0" borderId="32" xfId="1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41" fontId="12" fillId="0" borderId="24" xfId="1" applyFont="1" applyFill="1" applyBorder="1" applyAlignment="1">
      <alignment horizontal="center" vertical="center"/>
    </xf>
    <xf numFmtId="41" fontId="12" fillId="0" borderId="25" xfId="1" applyFont="1" applyFill="1" applyBorder="1" applyAlignment="1">
      <alignment horizontal="center" vertical="center"/>
    </xf>
    <xf numFmtId="41" fontId="12" fillId="0" borderId="26" xfId="1" applyFont="1" applyFill="1" applyBorder="1" applyAlignment="1">
      <alignment horizontal="center" vertical="center"/>
    </xf>
    <xf numFmtId="41" fontId="12" fillId="0" borderId="19" xfId="1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12" xfId="1" applyNumberFormat="1" applyFont="1" applyFill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12" fillId="0" borderId="37" xfId="1" applyNumberFormat="1" applyFont="1" applyFill="1" applyBorder="1" applyAlignment="1">
      <alignment horizontal="left" vertical="top"/>
    </xf>
    <xf numFmtId="0" fontId="12" fillId="0" borderId="29" xfId="1" applyNumberFormat="1" applyFont="1" applyFill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41" fontId="12" fillId="0" borderId="29" xfId="1" applyFont="1" applyFill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41" fontId="12" fillId="0" borderId="14" xfId="1" applyFont="1" applyFill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19" xfId="1" applyNumberFormat="1" applyFont="1" applyFill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0" fontId="12" fillId="0" borderId="14" xfId="1" applyNumberFormat="1" applyFont="1" applyFill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1" xfId="0" applyFont="1" applyBorder="1" applyAlignment="1">
      <alignment horizontal="left" vertical="top" wrapText="1"/>
    </xf>
    <xf numFmtId="0" fontId="12" fillId="0" borderId="13" xfId="1" applyNumberFormat="1" applyFont="1" applyFill="1" applyBorder="1" applyAlignment="1">
      <alignment horizontal="left" vertical="top"/>
    </xf>
    <xf numFmtId="0" fontId="11" fillId="4" borderId="7" xfId="0" applyFont="1" applyFill="1" applyBorder="1" applyAlignment="1">
      <alignment horizontal="left" vertical="center"/>
    </xf>
    <xf numFmtId="0" fontId="12" fillId="0" borderId="13" xfId="1" applyNumberFormat="1" applyFont="1" applyFill="1" applyBorder="1" applyAlignment="1">
      <alignment horizontal="left" vertical="top" wrapText="1"/>
    </xf>
    <xf numFmtId="0" fontId="12" fillId="0" borderId="18" xfId="1" applyNumberFormat="1" applyFont="1" applyFill="1" applyBorder="1" applyAlignment="1">
      <alignment horizontal="left" vertical="top" wrapText="1"/>
    </xf>
  </cellXfs>
  <cellStyles count="4">
    <cellStyle name="Comma [0]" xfId="1" builtinId="6"/>
    <cellStyle name="Hyperlink" xfId="2" builtinId="8"/>
    <cellStyle name="Normal" xfId="0" builtinId="0"/>
    <cellStyle name="Normal 2" xfId="3" xr:uid="{816015C2-C774-4D11-97C6-5EEF1696C771}"/>
  </cellStyles>
  <dxfs count="0"/>
  <tableStyles count="0" defaultTableStyle="TableStyleMedium2" defaultPivotStyle="PivotStyleLight16"/>
  <colors>
    <mruColors>
      <color rgb="FFFFCC66"/>
      <color rgb="FFFFCC00"/>
      <color rgb="FFFFFF99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13</xdr:row>
      <xdr:rowOff>2330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13</xdr:row>
      <xdr:rowOff>1568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zoomScale="85" zoomScaleNormal="85" workbookViewId="0">
      <pane ySplit="13" topLeftCell="A21" activePane="bottomLeft" state="frozen"/>
      <selection pane="bottomLeft" activeCell="N37" sqref="N37"/>
    </sheetView>
  </sheetViews>
  <sheetFormatPr defaultColWidth="8.69921875" defaultRowHeight="15.6" x14ac:dyDescent="0.4"/>
  <cols>
    <col min="1" max="1" width="3.69921875" style="70" customWidth="1"/>
    <col min="2" max="2" width="8.69921875" style="70" customWidth="1"/>
    <col min="3" max="3" width="18.19921875" style="70" bestFit="1" customWidth="1"/>
    <col min="4" max="13" width="8.69921875" style="70"/>
    <col min="14" max="14" width="8.69921875" style="70" customWidth="1"/>
    <col min="15" max="16384" width="8.69921875" style="70"/>
  </cols>
  <sheetData>
    <row r="2" spans="2:16" ht="30" customHeight="1" x14ac:dyDescent="0.4">
      <c r="B2" s="6" t="s">
        <v>0</v>
      </c>
      <c r="C2" s="91"/>
      <c r="D2" s="92"/>
      <c r="E2" s="92"/>
      <c r="F2" s="92"/>
      <c r="G2" s="92"/>
      <c r="H2" s="92"/>
      <c r="I2" s="92"/>
      <c r="J2" s="92"/>
      <c r="K2" s="92"/>
      <c r="L2" s="92"/>
      <c r="M2" s="92"/>
      <c r="N2" s="93"/>
      <c r="P2" s="94"/>
    </row>
    <row r="3" spans="2:16" x14ac:dyDescent="0.4">
      <c r="B3" s="95" t="s">
        <v>88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6" x14ac:dyDescent="0.4">
      <c r="P4" s="98"/>
    </row>
    <row r="5" spans="2:16" x14ac:dyDescent="0.4">
      <c r="P5" s="98"/>
    </row>
    <row r="6" spans="2:16" x14ac:dyDescent="0.4">
      <c r="P6" s="98"/>
    </row>
    <row r="11" spans="2:16" x14ac:dyDescent="0.4">
      <c r="B11" s="44" t="str">
        <f>"Total"&amp;" :  "&amp;SUM(N14:N52)</f>
        <v>Total :  310</v>
      </c>
      <c r="C11" s="35" t="s">
        <v>40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</row>
    <row r="12" spans="2:16" ht="16.2" thickBot="1" x14ac:dyDescent="0.45"/>
    <row r="13" spans="2:16" ht="16.2" thickBot="1" x14ac:dyDescent="0.45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0"/>
      <c r="J13" s="140"/>
      <c r="K13" s="140"/>
      <c r="L13" s="140"/>
      <c r="M13" s="20"/>
      <c r="N13" s="19" t="s">
        <v>16</v>
      </c>
    </row>
    <row r="14" spans="2:16" x14ac:dyDescent="0.4">
      <c r="B14" s="108">
        <v>1</v>
      </c>
      <c r="C14" s="114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 x14ac:dyDescent="0.4">
      <c r="B15" s="109"/>
      <c r="C15" s="115"/>
      <c r="D15" s="55" t="s">
        <v>69</v>
      </c>
      <c r="E15" s="56"/>
      <c r="F15" s="56"/>
      <c r="G15" s="56"/>
      <c r="H15" s="56"/>
      <c r="I15" s="139"/>
      <c r="J15" s="139"/>
      <c r="K15" s="139"/>
      <c r="L15" s="139"/>
      <c r="M15" s="58"/>
      <c r="N15" s="37">
        <f>'Checklist_1-2'!B11</f>
        <v>0</v>
      </c>
      <c r="O15" s="79"/>
    </row>
    <row r="16" spans="2:16" x14ac:dyDescent="0.4">
      <c r="B16" s="109"/>
      <c r="C16" s="115"/>
      <c r="D16" s="55" t="s">
        <v>18</v>
      </c>
      <c r="E16" s="56"/>
      <c r="F16" s="56"/>
      <c r="G16" s="56"/>
      <c r="H16" s="56"/>
      <c r="I16" s="141"/>
      <c r="J16" s="141"/>
      <c r="K16" s="141"/>
      <c r="L16" s="141"/>
      <c r="M16" s="58"/>
      <c r="N16" s="37">
        <f>'Checklist_1-3'!B11</f>
        <v>0</v>
      </c>
      <c r="O16" s="79"/>
    </row>
    <row r="17" spans="2:15" ht="16.2" thickBot="1" x14ac:dyDescent="0.45">
      <c r="B17" s="110"/>
      <c r="C17" s="116"/>
      <c r="D17" s="59" t="s">
        <v>19</v>
      </c>
      <c r="E17" s="21"/>
      <c r="F17" s="21"/>
      <c r="G17" s="21"/>
      <c r="H17" s="21"/>
      <c r="I17" s="142"/>
      <c r="J17" s="142"/>
      <c r="K17" s="142"/>
      <c r="L17" s="142"/>
      <c r="M17" s="22"/>
      <c r="N17" s="38">
        <f>'Checklist_1-4'!B11</f>
        <v>0</v>
      </c>
      <c r="O17" s="79"/>
    </row>
    <row r="18" spans="2:15" x14ac:dyDescent="0.4">
      <c r="B18" s="111">
        <v>2</v>
      </c>
      <c r="C18" s="114" t="s">
        <v>48</v>
      </c>
      <c r="D18" s="80" t="s">
        <v>67</v>
      </c>
      <c r="E18" s="52"/>
      <c r="F18" s="52"/>
      <c r="G18" s="52"/>
      <c r="H18" s="52"/>
      <c r="I18" s="120"/>
      <c r="J18" s="121"/>
      <c r="K18" s="121"/>
      <c r="L18" s="122"/>
      <c r="M18" s="54"/>
      <c r="N18" s="46">
        <f>'Checklist_2-1'!B11</f>
        <v>0</v>
      </c>
      <c r="O18" s="79"/>
    </row>
    <row r="19" spans="2:15" x14ac:dyDescent="0.4">
      <c r="B19" s="111"/>
      <c r="C19" s="115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 x14ac:dyDescent="0.4">
      <c r="B20" s="111"/>
      <c r="C20" s="115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 x14ac:dyDescent="0.4">
      <c r="B21" s="111"/>
      <c r="C21" s="115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 x14ac:dyDescent="0.4">
      <c r="B22" s="111"/>
      <c r="C22" s="115"/>
      <c r="D22" s="17" t="s">
        <v>84</v>
      </c>
      <c r="E22" s="56"/>
      <c r="F22" s="56"/>
      <c r="G22" s="56"/>
      <c r="H22" s="56"/>
      <c r="I22" s="139"/>
      <c r="J22" s="139"/>
      <c r="K22" s="139"/>
      <c r="L22" s="139"/>
      <c r="M22" s="58"/>
      <c r="N22" s="49">
        <f>'Checklist_2-5'!$B$11</f>
        <v>12</v>
      </c>
      <c r="O22" s="79"/>
    </row>
    <row r="23" spans="2:15" ht="16.2" thickBot="1" x14ac:dyDescent="0.45">
      <c r="B23" s="111"/>
      <c r="C23" s="115"/>
      <c r="D23" s="86" t="s">
        <v>51</v>
      </c>
      <c r="E23" s="87"/>
      <c r="F23" s="87"/>
      <c r="G23" s="87"/>
      <c r="H23" s="87"/>
      <c r="I23" s="123"/>
      <c r="J23" s="123"/>
      <c r="K23" s="123"/>
      <c r="L23" s="123"/>
      <c r="M23" s="26"/>
      <c r="N23" s="37">
        <f>'Checklist_2-6'!$B$11</f>
        <v>0</v>
      </c>
      <c r="O23" s="79"/>
    </row>
    <row r="24" spans="2:15" x14ac:dyDescent="0.4">
      <c r="B24" s="112">
        <v>3</v>
      </c>
      <c r="C24" s="114" t="s">
        <v>2</v>
      </c>
      <c r="D24" s="63" t="s">
        <v>4</v>
      </c>
      <c r="E24" s="52"/>
      <c r="F24" s="52"/>
      <c r="G24" s="52"/>
      <c r="H24" s="52"/>
      <c r="I24" s="124"/>
      <c r="J24" s="125"/>
      <c r="K24" s="125"/>
      <c r="L24" s="126"/>
      <c r="M24" s="64"/>
      <c r="N24" s="39">
        <f>'Checklist_3-1'!B11</f>
        <v>27</v>
      </c>
      <c r="O24" s="79"/>
    </row>
    <row r="25" spans="2:15" ht="16.2" thickBot="1" x14ac:dyDescent="0.45">
      <c r="B25" s="111"/>
      <c r="C25" s="115"/>
      <c r="D25" s="65" t="s">
        <v>20</v>
      </c>
      <c r="E25" s="56"/>
      <c r="F25" s="56"/>
      <c r="G25" s="56"/>
      <c r="H25" s="21"/>
      <c r="I25" s="133"/>
      <c r="J25" s="134"/>
      <c r="K25" s="134"/>
      <c r="L25" s="135"/>
      <c r="M25" s="22"/>
      <c r="N25" s="47">
        <f>'Checklist_3-2'!B11</f>
        <v>0</v>
      </c>
      <c r="O25" s="79"/>
    </row>
    <row r="26" spans="2:15" x14ac:dyDescent="0.4">
      <c r="B26" s="112">
        <v>4</v>
      </c>
      <c r="C26" s="114" t="s">
        <v>21</v>
      </c>
      <c r="D26" s="63" t="s">
        <v>22</v>
      </c>
      <c r="E26" s="52"/>
      <c r="F26" s="52"/>
      <c r="G26" s="52"/>
      <c r="H26" s="66"/>
      <c r="I26" s="127"/>
      <c r="J26" s="128"/>
      <c r="K26" s="128"/>
      <c r="L26" s="129"/>
      <c r="M26" s="64"/>
      <c r="N26" s="36">
        <f>'Checklist_4-1'!B11</f>
        <v>0</v>
      </c>
      <c r="O26" s="79"/>
    </row>
    <row r="27" spans="2:15" x14ac:dyDescent="0.4">
      <c r="B27" s="111"/>
      <c r="C27" s="115"/>
      <c r="D27" s="65" t="s">
        <v>23</v>
      </c>
      <c r="E27" s="56"/>
      <c r="F27" s="56"/>
      <c r="G27" s="56"/>
      <c r="H27" s="56"/>
      <c r="I27" s="130"/>
      <c r="J27" s="131"/>
      <c r="K27" s="131"/>
      <c r="L27" s="132"/>
      <c r="M27" s="58"/>
      <c r="N27" s="42">
        <f>'Checklist_4-2'!B11</f>
        <v>0</v>
      </c>
      <c r="O27" s="79"/>
    </row>
    <row r="28" spans="2:15" x14ac:dyDescent="0.4">
      <c r="B28" s="111"/>
      <c r="C28" s="115"/>
      <c r="D28" s="65" t="s">
        <v>24</v>
      </c>
      <c r="E28" s="56"/>
      <c r="F28" s="56"/>
      <c r="G28" s="56"/>
      <c r="H28" s="56"/>
      <c r="I28" s="130"/>
      <c r="J28" s="131"/>
      <c r="K28" s="131"/>
      <c r="L28" s="132"/>
      <c r="M28" s="58"/>
      <c r="N28" s="42">
        <f>'Checklist_4-3'!B11</f>
        <v>0</v>
      </c>
      <c r="O28" s="79"/>
    </row>
    <row r="29" spans="2:15" x14ac:dyDescent="0.4">
      <c r="B29" s="111"/>
      <c r="C29" s="115"/>
      <c r="D29" s="65" t="s">
        <v>25</v>
      </c>
      <c r="E29" s="56"/>
      <c r="F29" s="56"/>
      <c r="G29" s="56"/>
      <c r="H29" s="56"/>
      <c r="I29" s="130"/>
      <c r="J29" s="131"/>
      <c r="K29" s="131"/>
      <c r="L29" s="132"/>
      <c r="M29" s="58"/>
      <c r="N29" s="42">
        <f>'Checklist_4-4'!B11</f>
        <v>0</v>
      </c>
      <c r="O29" s="79"/>
    </row>
    <row r="30" spans="2:15" x14ac:dyDescent="0.4">
      <c r="B30" s="111"/>
      <c r="C30" s="115"/>
      <c r="D30" s="65" t="s">
        <v>26</v>
      </c>
      <c r="E30" s="56"/>
      <c r="F30" s="56"/>
      <c r="G30" s="56"/>
      <c r="H30" s="56"/>
      <c r="I30" s="130"/>
      <c r="J30" s="131"/>
      <c r="K30" s="131"/>
      <c r="L30" s="132"/>
      <c r="M30" s="58"/>
      <c r="N30" s="42">
        <f>'Checklist_4-5'!B11</f>
        <v>0</v>
      </c>
      <c r="O30" s="79"/>
    </row>
    <row r="31" spans="2:15" ht="16.2" thickBot="1" x14ac:dyDescent="0.45">
      <c r="B31" s="113"/>
      <c r="C31" s="116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 x14ac:dyDescent="0.4">
      <c r="B32" s="102">
        <v>5</v>
      </c>
      <c r="C32" s="105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6</v>
      </c>
      <c r="O32" s="79"/>
    </row>
    <row r="33" spans="2:15" x14ac:dyDescent="0.4">
      <c r="B33" s="103"/>
      <c r="C33" s="106"/>
      <c r="D33" s="16" t="s">
        <v>47</v>
      </c>
      <c r="E33" s="24"/>
      <c r="F33" s="24"/>
      <c r="G33" s="24"/>
      <c r="H33" s="24"/>
      <c r="I33" s="136"/>
      <c r="J33" s="137"/>
      <c r="K33" s="137"/>
      <c r="L33" s="138"/>
      <c r="M33" s="58"/>
      <c r="N33" s="37">
        <f>'Checklist_5-2'!B11</f>
        <v>4</v>
      </c>
      <c r="O33" s="79"/>
    </row>
    <row r="34" spans="2:15" x14ac:dyDescent="0.4">
      <c r="B34" s="103"/>
      <c r="C34" s="106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 x14ac:dyDescent="0.4">
      <c r="B35" s="103"/>
      <c r="C35" s="106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 x14ac:dyDescent="0.4">
      <c r="B36" s="103"/>
      <c r="C36" s="106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53</v>
      </c>
      <c r="O36" s="79"/>
    </row>
    <row r="37" spans="2:15" ht="16.2" thickBot="1" x14ac:dyDescent="0.45">
      <c r="B37" s="104"/>
      <c r="C37" s="107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0">
        <f>'Checklist_5-6'!B11</f>
        <v>104</v>
      </c>
      <c r="O37" s="101"/>
    </row>
    <row r="38" spans="2:15" x14ac:dyDescent="0.4">
      <c r="B38" s="102">
        <v>6</v>
      </c>
      <c r="C38" s="105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 x14ac:dyDescent="0.4">
      <c r="B39" s="103"/>
      <c r="C39" s="106"/>
      <c r="D39" s="17" t="s">
        <v>85</v>
      </c>
      <c r="E39" s="56"/>
      <c r="F39" s="56"/>
      <c r="G39" s="56"/>
      <c r="H39" s="56"/>
      <c r="I39" s="88"/>
      <c r="J39" s="89"/>
      <c r="K39" s="89"/>
      <c r="L39" s="89"/>
      <c r="M39" s="58"/>
      <c r="N39" s="90">
        <f>'Checklist_6-2'!B11</f>
        <v>0</v>
      </c>
      <c r="O39" s="79"/>
    </row>
    <row r="40" spans="2:15" ht="16.2" thickBot="1" x14ac:dyDescent="0.45">
      <c r="B40" s="104"/>
      <c r="C40" s="107"/>
      <c r="D40" s="12" t="s">
        <v>86</v>
      </c>
      <c r="E40" s="21"/>
      <c r="F40" s="21"/>
      <c r="G40" s="21"/>
      <c r="H40" s="21"/>
      <c r="I40" s="133"/>
      <c r="J40" s="134"/>
      <c r="K40" s="134"/>
      <c r="L40" s="135"/>
      <c r="M40" s="22"/>
      <c r="N40" s="47">
        <f>'Checklist_6-3'!B11</f>
        <v>71</v>
      </c>
      <c r="O40" s="79"/>
    </row>
    <row r="41" spans="2:15" x14ac:dyDescent="0.4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33</v>
      </c>
      <c r="O41" s="79"/>
    </row>
    <row r="42" spans="2:15" x14ac:dyDescent="0.4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 x14ac:dyDescent="0.4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 x14ac:dyDescent="0.4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 x14ac:dyDescent="0.4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 x14ac:dyDescent="0.4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 x14ac:dyDescent="0.4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 x14ac:dyDescent="0.4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 x14ac:dyDescent="0.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 x14ac:dyDescent="0.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 x14ac:dyDescent="0.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.2" thickBot="1" x14ac:dyDescent="0.45">
      <c r="B52" s="26"/>
      <c r="C52" s="15"/>
      <c r="D52" s="12"/>
      <c r="E52" s="21"/>
      <c r="F52" s="21"/>
      <c r="G52" s="21"/>
      <c r="H52" s="21"/>
      <c r="I52" s="117"/>
      <c r="J52" s="118"/>
      <c r="K52" s="118"/>
      <c r="L52" s="119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F18B-BC17-448F-ADFA-DD5922D17F36}">
  <sheetPr codeName="Sheet2"/>
  <dimension ref="B2:W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3" ht="30" customHeight="1" x14ac:dyDescent="0.4">
      <c r="B2" s="6" t="s">
        <v>32</v>
      </c>
      <c r="C2" s="7"/>
      <c r="D2" s="8"/>
      <c r="E2" s="8"/>
      <c r="F2" s="8"/>
      <c r="G2" s="8"/>
      <c r="H2" s="8"/>
      <c r="I2" s="8"/>
      <c r="J2" s="82"/>
    </row>
    <row r="3" spans="2:23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3" x14ac:dyDescent="0.4">
      <c r="L4" s="1" t="s">
        <v>72</v>
      </c>
    </row>
    <row r="11" spans="2:23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3" x14ac:dyDescent="0.4">
      <c r="B12" s="32"/>
      <c r="C12" s="32"/>
      <c r="D12" s="33"/>
      <c r="E12" s="33"/>
      <c r="F12" s="33"/>
    </row>
    <row r="13" spans="2:23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739A-7BBA-48AE-914B-6F018CF15AC7}">
  <sheetPr codeName="Sheet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68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73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0CA0-C266-47C1-85A0-7C0D7A6C7D48}">
  <sheetPr codeName="Sheet4"/>
  <dimension ref="B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8" spans="3:3" x14ac:dyDescent="0.4">
      <c r="C18" s="48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57BE-863E-464A-9FD1-AAF9437A0AF4}">
  <sheetPr codeName="Sheet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34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5DD5-EC90-4E88-B620-AC1E30627D0B}">
  <sheetPr codeName="Sheet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38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9FAA-5677-41DC-B67F-C3201AD61823}">
  <sheetPr codeName="Sheet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39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0FBA-2DD0-4E06-9323-B0FE551E6F0B}">
  <sheetPr codeName="Sheet8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52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2A85-49D6-435E-B6C0-60FA67F2F058}">
  <sheetPr codeName="Sheet10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84A1-B8A4-4F7C-B160-641D73B7703E}">
  <sheetPr codeName="Sheet28"/>
  <dimension ref="B2:Y25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C14" sqref="C14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83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12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 x14ac:dyDescent="0.4"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  <c r="J14" t="s">
        <v>99</v>
      </c>
    </row>
    <row r="15" spans="2:25" x14ac:dyDescent="0.4"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</row>
    <row r="16" spans="2:25" x14ac:dyDescent="0.4"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98</v>
      </c>
      <c r="J16" t="s">
        <v>99</v>
      </c>
    </row>
    <row r="17" spans="2:10" x14ac:dyDescent="0.4"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t="s">
        <v>98</v>
      </c>
      <c r="J17" t="s">
        <v>99</v>
      </c>
    </row>
    <row r="18" spans="2:10" x14ac:dyDescent="0.4">
      <c r="B18" t="s">
        <v>100</v>
      </c>
      <c r="C18" t="s">
        <v>101</v>
      </c>
      <c r="D18" t="s">
        <v>93</v>
      </c>
      <c r="E18" t="s">
        <v>94</v>
      </c>
      <c r="F18" t="s">
        <v>95</v>
      </c>
      <c r="G18" t="s">
        <v>102</v>
      </c>
      <c r="H18" t="s">
        <v>103</v>
      </c>
      <c r="I18" t="s">
        <v>98</v>
      </c>
      <c r="J18" t="s">
        <v>99</v>
      </c>
    </row>
    <row r="19" spans="2:10" x14ac:dyDescent="0.4">
      <c r="B19" t="s">
        <v>100</v>
      </c>
      <c r="C19" t="s">
        <v>101</v>
      </c>
      <c r="D19" t="s">
        <v>93</v>
      </c>
      <c r="E19" t="s">
        <v>94</v>
      </c>
      <c r="F19" t="s">
        <v>95</v>
      </c>
      <c r="G19" t="s">
        <v>102</v>
      </c>
      <c r="H19" t="s">
        <v>103</v>
      </c>
      <c r="I19" t="s">
        <v>98</v>
      </c>
      <c r="J19" t="s">
        <v>99</v>
      </c>
    </row>
    <row r="20" spans="2:10" x14ac:dyDescent="0.4">
      <c r="B20" t="s">
        <v>100</v>
      </c>
      <c r="C20" t="s">
        <v>101</v>
      </c>
      <c r="D20" t="s">
        <v>93</v>
      </c>
      <c r="E20" t="s">
        <v>94</v>
      </c>
      <c r="F20" t="s">
        <v>95</v>
      </c>
      <c r="G20" t="s">
        <v>102</v>
      </c>
      <c r="H20" t="s">
        <v>103</v>
      </c>
      <c r="I20" t="s">
        <v>98</v>
      </c>
      <c r="J20" t="s">
        <v>99</v>
      </c>
    </row>
    <row r="21" spans="2:10" x14ac:dyDescent="0.4">
      <c r="B21" t="s">
        <v>100</v>
      </c>
      <c r="C21" t="s">
        <v>101</v>
      </c>
      <c r="D21" t="s">
        <v>93</v>
      </c>
      <c r="E21" t="s">
        <v>94</v>
      </c>
      <c r="F21" t="s">
        <v>95</v>
      </c>
      <c r="G21" t="s">
        <v>102</v>
      </c>
      <c r="H21" t="s">
        <v>103</v>
      </c>
      <c r="I21" t="s">
        <v>98</v>
      </c>
      <c r="J21" t="s">
        <v>99</v>
      </c>
    </row>
    <row r="22" spans="2:10" x14ac:dyDescent="0.4">
      <c r="B22" t="s">
        <v>104</v>
      </c>
      <c r="C22" t="s">
        <v>105</v>
      </c>
      <c r="D22" t="s">
        <v>93</v>
      </c>
      <c r="E22" t="s">
        <v>94</v>
      </c>
      <c r="F22" t="s">
        <v>106</v>
      </c>
      <c r="G22" t="s">
        <v>96</v>
      </c>
      <c r="H22" t="s">
        <v>107</v>
      </c>
      <c r="I22" t="s">
        <v>98</v>
      </c>
      <c r="J22" t="s">
        <v>99</v>
      </c>
    </row>
    <row r="23" spans="2:10" x14ac:dyDescent="0.4">
      <c r="B23" t="s">
        <v>104</v>
      </c>
      <c r="C23" t="s">
        <v>105</v>
      </c>
      <c r="D23" t="s">
        <v>93</v>
      </c>
      <c r="E23" t="s">
        <v>108</v>
      </c>
      <c r="F23" t="s">
        <v>109</v>
      </c>
      <c r="G23" t="s">
        <v>110</v>
      </c>
      <c r="H23" t="s">
        <v>111</v>
      </c>
      <c r="I23" t="s">
        <v>112</v>
      </c>
      <c r="J23" t="s">
        <v>99</v>
      </c>
    </row>
    <row r="24" spans="2:10" x14ac:dyDescent="0.4">
      <c r="B24" t="s">
        <v>113</v>
      </c>
      <c r="C24" t="s">
        <v>114</v>
      </c>
      <c r="D24" t="s">
        <v>93</v>
      </c>
      <c r="E24" t="s">
        <v>94</v>
      </c>
      <c r="F24" t="s">
        <v>106</v>
      </c>
      <c r="G24" t="s">
        <v>96</v>
      </c>
      <c r="H24" t="s">
        <v>107</v>
      </c>
      <c r="I24" t="s">
        <v>98</v>
      </c>
      <c r="J24" t="s">
        <v>99</v>
      </c>
    </row>
    <row r="25" spans="2:10" x14ac:dyDescent="0.4">
      <c r="B25" t="s">
        <v>113</v>
      </c>
      <c r="C25" t="s">
        <v>114</v>
      </c>
      <c r="D25" t="s">
        <v>93</v>
      </c>
      <c r="E25" t="s">
        <v>108</v>
      </c>
      <c r="F25" t="s">
        <v>109</v>
      </c>
      <c r="G25" t="s">
        <v>110</v>
      </c>
      <c r="H25" t="s">
        <v>111</v>
      </c>
      <c r="I25" t="s">
        <v>112</v>
      </c>
      <c r="J25" t="s">
        <v>99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19E4-EB67-4C2F-BB5E-C11C33C7B491}">
  <sheetPr codeName="Sheet11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56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FC1C-C5F3-43EF-A9E4-98A6C57B9F24}">
  <sheetPr codeName="Sheet12"/>
  <dimension ref="B2:J40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10" ht="30" customHeight="1" x14ac:dyDescent="0.4">
      <c r="B2" s="6" t="s">
        <v>35</v>
      </c>
      <c r="C2" s="7"/>
      <c r="D2" s="8"/>
      <c r="E2" s="8"/>
      <c r="F2" s="8"/>
      <c r="G2" s="8"/>
      <c r="H2" s="8"/>
      <c r="I2" s="8"/>
      <c r="J2" s="82"/>
    </row>
    <row r="3" spans="2:10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10" x14ac:dyDescent="0.4">
      <c r="B11" s="28">
        <f>COUNTA(B14:B1048576)</f>
        <v>27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0" x14ac:dyDescent="0.4">
      <c r="B12" s="32"/>
      <c r="C12" s="32"/>
      <c r="D12" s="33"/>
      <c r="E12" s="33"/>
      <c r="F12" s="33"/>
    </row>
    <row r="13" spans="2:10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</row>
    <row r="14" spans="2:10" x14ac:dyDescent="0.4">
      <c r="B14" t="s">
        <v>115</v>
      </c>
      <c r="C14" t="s">
        <v>116</v>
      </c>
      <c r="D14" t="s">
        <v>93</v>
      </c>
      <c r="E14" t="s">
        <v>117</v>
      </c>
      <c r="F14" t="s">
        <v>118</v>
      </c>
      <c r="G14" t="s">
        <v>119</v>
      </c>
      <c r="H14" t="s">
        <v>111</v>
      </c>
      <c r="I14" t="s">
        <v>120</v>
      </c>
      <c r="J14" t="s">
        <v>99</v>
      </c>
    </row>
    <row r="15" spans="2:10" x14ac:dyDescent="0.4">
      <c r="B15" t="s">
        <v>115</v>
      </c>
      <c r="C15" t="s">
        <v>121</v>
      </c>
      <c r="D15" t="s">
        <v>93</v>
      </c>
      <c r="E15" t="s">
        <v>117</v>
      </c>
      <c r="F15" t="s">
        <v>118</v>
      </c>
      <c r="G15" t="s">
        <v>119</v>
      </c>
      <c r="H15" t="s">
        <v>111</v>
      </c>
      <c r="I15" t="s">
        <v>120</v>
      </c>
      <c r="J15" t="s">
        <v>99</v>
      </c>
    </row>
    <row r="16" spans="2:10" x14ac:dyDescent="0.4">
      <c r="B16" t="s">
        <v>115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107</v>
      </c>
      <c r="I16" t="s">
        <v>120</v>
      </c>
      <c r="J16" t="s">
        <v>99</v>
      </c>
    </row>
    <row r="17" spans="2:10" x14ac:dyDescent="0.4">
      <c r="B17" t="s">
        <v>115</v>
      </c>
      <c r="C17" t="s">
        <v>122</v>
      </c>
      <c r="D17" t="s">
        <v>123</v>
      </c>
      <c r="E17" t="s">
        <v>127</v>
      </c>
      <c r="F17" t="s">
        <v>128</v>
      </c>
      <c r="G17" t="s">
        <v>129</v>
      </c>
      <c r="H17" t="s">
        <v>130</v>
      </c>
      <c r="I17" t="s">
        <v>120</v>
      </c>
      <c r="J17" t="s">
        <v>99</v>
      </c>
    </row>
    <row r="18" spans="2:10" x14ac:dyDescent="0.4">
      <c r="B18" t="s">
        <v>115</v>
      </c>
      <c r="C18" t="s">
        <v>122</v>
      </c>
      <c r="D18" t="s">
        <v>93</v>
      </c>
      <c r="E18" t="s">
        <v>131</v>
      </c>
      <c r="F18" t="s">
        <v>132</v>
      </c>
      <c r="G18" t="s">
        <v>133</v>
      </c>
      <c r="H18" t="s">
        <v>107</v>
      </c>
      <c r="I18" t="s">
        <v>120</v>
      </c>
      <c r="J18" t="s">
        <v>99</v>
      </c>
    </row>
    <row r="19" spans="2:10" x14ac:dyDescent="0.4">
      <c r="B19" t="s">
        <v>115</v>
      </c>
      <c r="C19" t="s">
        <v>122</v>
      </c>
      <c r="D19" t="s">
        <v>93</v>
      </c>
      <c r="E19" t="s">
        <v>117</v>
      </c>
      <c r="F19" t="s">
        <v>118</v>
      </c>
      <c r="G19" t="s">
        <v>119</v>
      </c>
      <c r="H19" t="s">
        <v>111</v>
      </c>
      <c r="I19" t="s">
        <v>120</v>
      </c>
      <c r="J19" t="s">
        <v>99</v>
      </c>
    </row>
    <row r="20" spans="2:10" x14ac:dyDescent="0.4">
      <c r="B20" t="s">
        <v>134</v>
      </c>
      <c r="C20" t="s">
        <v>116</v>
      </c>
      <c r="D20" t="s">
        <v>93</v>
      </c>
      <c r="E20" t="s">
        <v>117</v>
      </c>
      <c r="F20" t="s">
        <v>118</v>
      </c>
      <c r="G20" t="s">
        <v>135</v>
      </c>
      <c r="H20" t="s">
        <v>111</v>
      </c>
      <c r="I20" t="s">
        <v>120</v>
      </c>
      <c r="J20" t="s">
        <v>99</v>
      </c>
    </row>
    <row r="21" spans="2:10" x14ac:dyDescent="0.4">
      <c r="B21" t="s">
        <v>134</v>
      </c>
      <c r="C21" t="s">
        <v>136</v>
      </c>
      <c r="D21" t="s">
        <v>93</v>
      </c>
      <c r="E21" t="s">
        <v>117</v>
      </c>
      <c r="F21" t="s">
        <v>118</v>
      </c>
      <c r="G21" t="s">
        <v>135</v>
      </c>
      <c r="H21" t="s">
        <v>111</v>
      </c>
      <c r="I21" t="s">
        <v>120</v>
      </c>
      <c r="J21" t="s">
        <v>99</v>
      </c>
    </row>
    <row r="22" spans="2:10" x14ac:dyDescent="0.4">
      <c r="B22" t="s">
        <v>137</v>
      </c>
      <c r="C22" t="s">
        <v>138</v>
      </c>
      <c r="D22" t="s">
        <v>123</v>
      </c>
      <c r="E22" t="s">
        <v>139</v>
      </c>
      <c r="F22" t="s">
        <v>140</v>
      </c>
      <c r="G22" t="s">
        <v>141</v>
      </c>
      <c r="H22" t="s">
        <v>107</v>
      </c>
      <c r="I22" t="s">
        <v>120</v>
      </c>
      <c r="J22" t="s">
        <v>99</v>
      </c>
    </row>
    <row r="23" spans="2:10" x14ac:dyDescent="0.4">
      <c r="B23" t="s">
        <v>142</v>
      </c>
      <c r="C23" t="s">
        <v>143</v>
      </c>
      <c r="D23" t="s">
        <v>93</v>
      </c>
      <c r="E23" t="s">
        <v>144</v>
      </c>
      <c r="F23" t="s">
        <v>145</v>
      </c>
      <c r="G23" t="s">
        <v>146</v>
      </c>
      <c r="H23" t="s">
        <v>107</v>
      </c>
      <c r="I23" t="s">
        <v>120</v>
      </c>
      <c r="J23" t="s">
        <v>99</v>
      </c>
    </row>
    <row r="24" spans="2:10" x14ac:dyDescent="0.4">
      <c r="B24" t="s">
        <v>142</v>
      </c>
      <c r="C24" t="s">
        <v>147</v>
      </c>
      <c r="D24" t="s">
        <v>93</v>
      </c>
      <c r="E24" t="s">
        <v>148</v>
      </c>
      <c r="F24" t="s">
        <v>149</v>
      </c>
      <c r="G24" t="s">
        <v>150</v>
      </c>
      <c r="H24" t="s">
        <v>107</v>
      </c>
      <c r="I24" t="s">
        <v>120</v>
      </c>
      <c r="J24" t="s">
        <v>99</v>
      </c>
    </row>
    <row r="25" spans="2:10" x14ac:dyDescent="0.4">
      <c r="B25" t="s">
        <v>142</v>
      </c>
      <c r="C25" t="s">
        <v>151</v>
      </c>
      <c r="D25" t="s">
        <v>123</v>
      </c>
      <c r="E25" t="s">
        <v>152</v>
      </c>
      <c r="F25" t="s">
        <v>153</v>
      </c>
      <c r="G25" t="s">
        <v>154</v>
      </c>
      <c r="H25" t="s">
        <v>111</v>
      </c>
      <c r="I25" t="s">
        <v>120</v>
      </c>
      <c r="J25" t="s">
        <v>99</v>
      </c>
    </row>
    <row r="26" spans="2:10" x14ac:dyDescent="0.4">
      <c r="B26" t="s">
        <v>142</v>
      </c>
      <c r="C26" t="s">
        <v>151</v>
      </c>
      <c r="D26" t="s">
        <v>123</v>
      </c>
      <c r="E26" t="s">
        <v>155</v>
      </c>
      <c r="F26" t="s">
        <v>156</v>
      </c>
      <c r="G26" t="s">
        <v>157</v>
      </c>
      <c r="H26" t="s">
        <v>111</v>
      </c>
      <c r="I26" t="s">
        <v>120</v>
      </c>
      <c r="J26" t="s">
        <v>99</v>
      </c>
    </row>
    <row r="27" spans="2:10" x14ac:dyDescent="0.4">
      <c r="B27" t="s">
        <v>142</v>
      </c>
      <c r="C27" t="s">
        <v>151</v>
      </c>
      <c r="D27" t="s">
        <v>123</v>
      </c>
      <c r="E27" t="s">
        <v>158</v>
      </c>
      <c r="F27" t="s">
        <v>159</v>
      </c>
      <c r="G27" t="s">
        <v>160</v>
      </c>
      <c r="H27" t="s">
        <v>130</v>
      </c>
      <c r="I27" t="s">
        <v>120</v>
      </c>
      <c r="J27" t="s">
        <v>99</v>
      </c>
    </row>
    <row r="28" spans="2:10" x14ac:dyDescent="0.4">
      <c r="B28" t="s">
        <v>142</v>
      </c>
      <c r="C28" t="s">
        <v>161</v>
      </c>
      <c r="D28" t="s">
        <v>123</v>
      </c>
      <c r="E28" t="s">
        <v>152</v>
      </c>
      <c r="F28" t="s">
        <v>153</v>
      </c>
      <c r="G28" t="s">
        <v>154</v>
      </c>
      <c r="H28" t="s">
        <v>111</v>
      </c>
      <c r="I28" t="s">
        <v>120</v>
      </c>
      <c r="J28" t="s">
        <v>99</v>
      </c>
    </row>
    <row r="29" spans="2:10" x14ac:dyDescent="0.4">
      <c r="B29" t="s">
        <v>142</v>
      </c>
      <c r="C29" t="s">
        <v>161</v>
      </c>
      <c r="D29" t="s">
        <v>123</v>
      </c>
      <c r="E29" t="s">
        <v>162</v>
      </c>
      <c r="F29" t="s">
        <v>163</v>
      </c>
      <c r="G29" t="s">
        <v>164</v>
      </c>
      <c r="H29" t="s">
        <v>111</v>
      </c>
      <c r="I29" t="s">
        <v>120</v>
      </c>
      <c r="J29" t="s">
        <v>99</v>
      </c>
    </row>
    <row r="30" spans="2:10" x14ac:dyDescent="0.4">
      <c r="B30" t="s">
        <v>142</v>
      </c>
      <c r="C30" t="s">
        <v>161</v>
      </c>
      <c r="D30" t="s">
        <v>123</v>
      </c>
      <c r="E30" t="s">
        <v>155</v>
      </c>
      <c r="F30" t="s">
        <v>156</v>
      </c>
      <c r="G30" t="s">
        <v>157</v>
      </c>
      <c r="H30" t="s">
        <v>111</v>
      </c>
      <c r="I30" t="s">
        <v>120</v>
      </c>
      <c r="J30" t="s">
        <v>99</v>
      </c>
    </row>
    <row r="31" spans="2:10" x14ac:dyDescent="0.4">
      <c r="B31" t="s">
        <v>142</v>
      </c>
      <c r="C31" t="s">
        <v>165</v>
      </c>
      <c r="D31" t="s">
        <v>123</v>
      </c>
      <c r="E31" t="s">
        <v>152</v>
      </c>
      <c r="F31" t="s">
        <v>153</v>
      </c>
      <c r="G31" t="s">
        <v>154</v>
      </c>
      <c r="H31" t="s">
        <v>111</v>
      </c>
      <c r="I31" t="s">
        <v>120</v>
      </c>
      <c r="J31" t="s">
        <v>99</v>
      </c>
    </row>
    <row r="32" spans="2:10" x14ac:dyDescent="0.4">
      <c r="B32" t="s">
        <v>142</v>
      </c>
      <c r="C32" t="s">
        <v>165</v>
      </c>
      <c r="D32" t="s">
        <v>123</v>
      </c>
      <c r="E32" t="s">
        <v>162</v>
      </c>
      <c r="F32" t="s">
        <v>163</v>
      </c>
      <c r="G32" t="s">
        <v>164</v>
      </c>
      <c r="H32" t="s">
        <v>111</v>
      </c>
      <c r="I32" t="s">
        <v>120</v>
      </c>
      <c r="J32" t="s">
        <v>99</v>
      </c>
    </row>
    <row r="33" spans="2:10" x14ac:dyDescent="0.4">
      <c r="B33" t="s">
        <v>142</v>
      </c>
      <c r="C33" t="s">
        <v>165</v>
      </c>
      <c r="D33" t="s">
        <v>123</v>
      </c>
      <c r="E33" t="s">
        <v>155</v>
      </c>
      <c r="F33" t="s">
        <v>156</v>
      </c>
      <c r="G33" t="s">
        <v>157</v>
      </c>
      <c r="H33" t="s">
        <v>111</v>
      </c>
      <c r="I33" t="s">
        <v>120</v>
      </c>
      <c r="J33" t="s">
        <v>99</v>
      </c>
    </row>
    <row r="34" spans="2:10" x14ac:dyDescent="0.4">
      <c r="B34" t="s">
        <v>142</v>
      </c>
      <c r="C34" t="s">
        <v>166</v>
      </c>
      <c r="D34" t="s">
        <v>123</v>
      </c>
      <c r="E34" t="s">
        <v>167</v>
      </c>
      <c r="F34" t="s">
        <v>168</v>
      </c>
      <c r="G34" t="s">
        <v>169</v>
      </c>
      <c r="H34" t="s">
        <v>111</v>
      </c>
      <c r="I34" t="s">
        <v>120</v>
      </c>
      <c r="J34" t="s">
        <v>99</v>
      </c>
    </row>
    <row r="35" spans="2:10" x14ac:dyDescent="0.4">
      <c r="B35" t="s">
        <v>170</v>
      </c>
      <c r="C35" t="s">
        <v>171</v>
      </c>
      <c r="D35" t="s">
        <v>93</v>
      </c>
      <c r="E35" t="s">
        <v>117</v>
      </c>
      <c r="F35" t="s">
        <v>172</v>
      </c>
      <c r="G35" t="s">
        <v>173</v>
      </c>
      <c r="H35" t="s">
        <v>107</v>
      </c>
      <c r="I35" t="s">
        <v>120</v>
      </c>
      <c r="J35" t="s">
        <v>99</v>
      </c>
    </row>
    <row r="36" spans="2:10" x14ac:dyDescent="0.4">
      <c r="B36" t="s">
        <v>170</v>
      </c>
      <c r="C36" t="s">
        <v>174</v>
      </c>
      <c r="D36" t="s">
        <v>93</v>
      </c>
      <c r="E36" t="s">
        <v>175</v>
      </c>
      <c r="F36" t="s">
        <v>176</v>
      </c>
      <c r="G36" t="s">
        <v>177</v>
      </c>
      <c r="H36" t="s">
        <v>107</v>
      </c>
      <c r="I36" t="s">
        <v>120</v>
      </c>
      <c r="J36" t="s">
        <v>99</v>
      </c>
    </row>
    <row r="37" spans="2:10" x14ac:dyDescent="0.4">
      <c r="B37" t="s">
        <v>170</v>
      </c>
      <c r="C37" t="s">
        <v>143</v>
      </c>
      <c r="D37" t="s">
        <v>93</v>
      </c>
      <c r="E37" t="s">
        <v>144</v>
      </c>
      <c r="F37" t="s">
        <v>145</v>
      </c>
      <c r="G37" t="s">
        <v>146</v>
      </c>
      <c r="H37" t="s">
        <v>107</v>
      </c>
      <c r="I37" t="s">
        <v>120</v>
      </c>
      <c r="J37" t="s">
        <v>99</v>
      </c>
    </row>
    <row r="38" spans="2:10" x14ac:dyDescent="0.4">
      <c r="B38" t="s">
        <v>170</v>
      </c>
      <c r="C38" t="s">
        <v>147</v>
      </c>
      <c r="D38" t="s">
        <v>93</v>
      </c>
      <c r="E38" t="s">
        <v>148</v>
      </c>
      <c r="F38" t="s">
        <v>149</v>
      </c>
      <c r="G38" t="s">
        <v>150</v>
      </c>
      <c r="H38" t="s">
        <v>107</v>
      </c>
      <c r="I38" t="s">
        <v>120</v>
      </c>
      <c r="J38" t="s">
        <v>99</v>
      </c>
    </row>
    <row r="39" spans="2:10" x14ac:dyDescent="0.4">
      <c r="B39" t="s">
        <v>170</v>
      </c>
      <c r="C39" t="s">
        <v>178</v>
      </c>
      <c r="D39" t="s">
        <v>93</v>
      </c>
      <c r="E39" t="s">
        <v>117</v>
      </c>
      <c r="F39" t="s">
        <v>172</v>
      </c>
      <c r="G39" t="s">
        <v>173</v>
      </c>
      <c r="H39" t="s">
        <v>107</v>
      </c>
      <c r="I39" t="s">
        <v>120</v>
      </c>
      <c r="J39" t="s">
        <v>99</v>
      </c>
    </row>
    <row r="40" spans="2:10" x14ac:dyDescent="0.4">
      <c r="B40" t="s">
        <v>170</v>
      </c>
      <c r="C40" t="s">
        <v>179</v>
      </c>
      <c r="D40" t="s">
        <v>123</v>
      </c>
      <c r="E40" t="s">
        <v>167</v>
      </c>
      <c r="F40" t="s">
        <v>168</v>
      </c>
      <c r="G40" t="s">
        <v>169</v>
      </c>
      <c r="H40" t="s">
        <v>111</v>
      </c>
      <c r="I40" t="s">
        <v>120</v>
      </c>
      <c r="J40" t="s">
        <v>99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E888-8FB2-42A9-9CAD-8CC1F6168131}">
  <sheetPr codeName="Sheet13"/>
  <dimension ref="B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 activeCell="B1" sqref="B1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12" ht="30" customHeight="1" x14ac:dyDescent="0.4">
      <c r="B2" s="6" t="s">
        <v>36</v>
      </c>
      <c r="C2" s="7"/>
      <c r="D2" s="8"/>
      <c r="E2" s="8"/>
      <c r="F2" s="8"/>
      <c r="G2" s="8"/>
      <c r="H2" s="8"/>
      <c r="I2" s="8"/>
      <c r="J2" s="2"/>
    </row>
    <row r="3" spans="2:12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12" x14ac:dyDescent="0.4">
      <c r="L4" s="1" t="s">
        <v>74</v>
      </c>
    </row>
    <row r="11" spans="2:12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2" x14ac:dyDescent="0.4">
      <c r="B12" s="32"/>
      <c r="C12" s="32"/>
      <c r="D12" s="33"/>
      <c r="E12" s="33"/>
      <c r="F12" s="33"/>
    </row>
    <row r="13" spans="2:12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</row>
    <row r="14" spans="2:12" x14ac:dyDescent="0.4">
      <c r="B14" s="11"/>
      <c r="K14" s="11"/>
      <c r="L14" s="11"/>
    </row>
    <row r="15" spans="2:12" x14ac:dyDescent="0.4">
      <c r="K15" s="11"/>
      <c r="L15" s="11"/>
    </row>
    <row r="16" spans="2:12" x14ac:dyDescent="0.4">
      <c r="K16" s="11"/>
      <c r="L16" s="11"/>
    </row>
    <row r="17" spans="11:12" x14ac:dyDescent="0.4">
      <c r="K17" s="11"/>
      <c r="L17" s="11"/>
    </row>
    <row r="18" spans="11:12" x14ac:dyDescent="0.4">
      <c r="K18" s="11"/>
      <c r="L18" s="11"/>
    </row>
    <row r="19" spans="11:12" x14ac:dyDescent="0.4">
      <c r="K19" s="11"/>
      <c r="L19" s="11"/>
    </row>
    <row r="20" spans="11:12" x14ac:dyDescent="0.4">
      <c r="K20" s="11"/>
      <c r="L20" s="11"/>
    </row>
    <row r="21" spans="11:12" x14ac:dyDescent="0.4">
      <c r="K21" s="11"/>
      <c r="L21" s="11"/>
    </row>
    <row r="22" spans="11:12" x14ac:dyDescent="0.4">
      <c r="K22" s="11"/>
      <c r="L22" s="11"/>
    </row>
    <row r="23" spans="11:12" x14ac:dyDescent="0.4">
      <c r="K23" s="11"/>
      <c r="L23" s="11"/>
    </row>
    <row r="24" spans="11:12" x14ac:dyDescent="0.4">
      <c r="K24" s="11"/>
      <c r="L24" s="11"/>
    </row>
    <row r="25" spans="11:12" x14ac:dyDescent="0.4">
      <c r="K25" s="11"/>
      <c r="L25" s="11"/>
    </row>
    <row r="26" spans="11:12" x14ac:dyDescent="0.4">
      <c r="K26" s="11"/>
      <c r="L26" s="11"/>
    </row>
    <row r="27" spans="11:12" x14ac:dyDescent="0.4">
      <c r="K27" s="11"/>
      <c r="L27" s="11"/>
    </row>
    <row r="28" spans="11:12" x14ac:dyDescent="0.4">
      <c r="K28" s="11"/>
      <c r="L28" s="11"/>
    </row>
    <row r="29" spans="11:12" x14ac:dyDescent="0.4">
      <c r="K29" s="11"/>
      <c r="L29" s="11"/>
    </row>
    <row r="30" spans="11:12" x14ac:dyDescent="0.4">
      <c r="K30" s="11"/>
      <c r="L30" s="11"/>
    </row>
    <row r="31" spans="11:12" x14ac:dyDescent="0.4">
      <c r="K31" s="11"/>
      <c r="L31" s="11"/>
    </row>
    <row r="32" spans="11:12" x14ac:dyDescent="0.4">
      <c r="K32" s="11"/>
      <c r="L32" s="11"/>
    </row>
    <row r="33" spans="11:12" x14ac:dyDescent="0.4">
      <c r="K33" s="11"/>
      <c r="L33" s="11"/>
    </row>
    <row r="34" spans="11:12" x14ac:dyDescent="0.4">
      <c r="K34" s="11"/>
      <c r="L34" s="11"/>
    </row>
    <row r="35" spans="11:12" x14ac:dyDescent="0.4">
      <c r="K35" s="11"/>
      <c r="L35" s="11"/>
    </row>
    <row r="36" spans="11:12" x14ac:dyDescent="0.4">
      <c r="K36" s="11"/>
      <c r="L36" s="11"/>
    </row>
    <row r="37" spans="11:12" x14ac:dyDescent="0.4">
      <c r="K37" s="11"/>
      <c r="L37" s="11"/>
    </row>
    <row r="38" spans="11:12" x14ac:dyDescent="0.4">
      <c r="K38" s="11"/>
      <c r="L38" s="11"/>
    </row>
    <row r="39" spans="11:12" x14ac:dyDescent="0.4">
      <c r="K39" s="11"/>
      <c r="L39" s="11"/>
    </row>
    <row r="40" spans="11:12" x14ac:dyDescent="0.4">
      <c r="K40" s="11"/>
      <c r="L40" s="11"/>
    </row>
    <row r="41" spans="11:12" x14ac:dyDescent="0.4">
      <c r="K41" s="11"/>
      <c r="L41" s="11"/>
    </row>
    <row r="42" spans="11:12" x14ac:dyDescent="0.4">
      <c r="K42" s="11"/>
      <c r="L42" s="11"/>
    </row>
    <row r="43" spans="11:12" x14ac:dyDescent="0.4">
      <c r="K43" s="11"/>
      <c r="L43" s="11"/>
    </row>
    <row r="44" spans="11:12" x14ac:dyDescent="0.4">
      <c r="K44" s="11"/>
      <c r="L44" s="11"/>
    </row>
    <row r="45" spans="11:12" x14ac:dyDescent="0.4">
      <c r="K45" s="11"/>
      <c r="L45" s="11"/>
    </row>
    <row r="46" spans="11:12" x14ac:dyDescent="0.4">
      <c r="K46" s="11"/>
      <c r="L46" s="11"/>
    </row>
    <row r="47" spans="11:12" x14ac:dyDescent="0.4">
      <c r="K47" s="11"/>
      <c r="L47" s="11"/>
    </row>
    <row r="48" spans="11:12" x14ac:dyDescent="0.4">
      <c r="K48" s="11"/>
      <c r="L48" s="11"/>
    </row>
    <row r="49" spans="11:12" x14ac:dyDescent="0.4">
      <c r="K49" s="11"/>
      <c r="L49" s="11"/>
    </row>
    <row r="50" spans="11:12" x14ac:dyDescent="0.4">
      <c r="K50" s="11"/>
      <c r="L50" s="11"/>
    </row>
    <row r="51" spans="11:12" x14ac:dyDescent="0.4">
      <c r="K51" s="11"/>
      <c r="L51" s="11"/>
    </row>
    <row r="52" spans="11:12" x14ac:dyDescent="0.4">
      <c r="K52" s="11"/>
      <c r="L52" s="11"/>
    </row>
    <row r="53" spans="11:12" x14ac:dyDescent="0.4">
      <c r="K53" s="11"/>
      <c r="L53" s="11"/>
    </row>
    <row r="54" spans="11:12" x14ac:dyDescent="0.4">
      <c r="K54" s="11"/>
      <c r="L54" s="11"/>
    </row>
    <row r="55" spans="11:12" x14ac:dyDescent="0.4">
      <c r="K55" s="11"/>
      <c r="L55" s="11"/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772F-B5BA-4F05-A3F3-454C07BE2D42}">
  <sheetPr codeName="Sheet1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42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75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8A6E-C997-4CE5-9A0B-D798392B10C8}">
  <sheetPr codeName="Sheet1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43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7311-9051-4C79-BC6B-2D0F74810CD4}">
  <sheetPr codeName="Sheet1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44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76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3E10-CC2D-47E7-BC08-F6D78F50246A}">
  <sheetPr codeName="Sheet1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45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34A2-D0D4-444D-875B-DFFB08751F23}">
  <sheetPr codeName="Sheet18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62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  <c r="L3" s="1" t="s">
        <v>75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C2A5-36FB-46A7-A988-B067F7E25A86}">
  <sheetPr codeName="Sheet19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9986-3512-4C4E-9E8B-47F3D8B9F148}">
  <sheetPr codeName="Sheet20"/>
  <dimension ref="B2:Y19"/>
  <sheetViews>
    <sheetView showGridLines="0" topLeftCell="C1" zoomScale="85" zoomScaleNormal="85" workbookViewId="0">
      <pane ySplit="13" topLeftCell="A14" activePane="bottomLeft" state="frozen"/>
      <selection activeCell="J14" sqref="J1:J1048576"/>
      <selection pane="bottomLeft" activeCell="J18" sqref="J18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57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77</v>
      </c>
    </row>
    <row r="11" spans="2:25" x14ac:dyDescent="0.4">
      <c r="B11" s="28">
        <f>COUNTA(B14:B1048576)</f>
        <v>6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 x14ac:dyDescent="0.4">
      <c r="B14" t="s">
        <v>180</v>
      </c>
      <c r="C14" t="s">
        <v>181</v>
      </c>
      <c r="D14" t="s">
        <v>93</v>
      </c>
      <c r="E14" t="s">
        <v>182</v>
      </c>
      <c r="F14" t="s">
        <v>183</v>
      </c>
      <c r="G14" t="s">
        <v>184</v>
      </c>
      <c r="H14" t="s">
        <v>111</v>
      </c>
      <c r="I14" t="s">
        <v>185</v>
      </c>
      <c r="J14" t="s">
        <v>186</v>
      </c>
    </row>
    <row r="15" spans="2:25" x14ac:dyDescent="0.4">
      <c r="B15" t="s">
        <v>180</v>
      </c>
      <c r="C15" t="s">
        <v>187</v>
      </c>
      <c r="D15" t="s">
        <v>93</v>
      </c>
      <c r="E15" t="s">
        <v>182</v>
      </c>
      <c r="F15" t="s">
        <v>183</v>
      </c>
      <c r="G15" t="s">
        <v>184</v>
      </c>
      <c r="H15" t="s">
        <v>111</v>
      </c>
      <c r="I15" t="s">
        <v>185</v>
      </c>
      <c r="J15" t="s">
        <v>186</v>
      </c>
    </row>
    <row r="16" spans="2:25" x14ac:dyDescent="0.4">
      <c r="B16" t="s">
        <v>188</v>
      </c>
      <c r="C16" t="s">
        <v>189</v>
      </c>
      <c r="D16" t="s">
        <v>93</v>
      </c>
      <c r="E16" t="s">
        <v>182</v>
      </c>
      <c r="F16" t="s">
        <v>183</v>
      </c>
      <c r="G16" t="s">
        <v>184</v>
      </c>
      <c r="H16" t="s">
        <v>111</v>
      </c>
      <c r="I16" t="s">
        <v>185</v>
      </c>
      <c r="J16" t="s">
        <v>186</v>
      </c>
    </row>
    <row r="17" spans="2:10" x14ac:dyDescent="0.4">
      <c r="B17" t="s">
        <v>190</v>
      </c>
      <c r="C17" t="s">
        <v>189</v>
      </c>
      <c r="D17" t="s">
        <v>93</v>
      </c>
      <c r="E17" t="s">
        <v>182</v>
      </c>
      <c r="F17" t="s">
        <v>183</v>
      </c>
      <c r="G17" t="s">
        <v>184</v>
      </c>
      <c r="H17" t="s">
        <v>111</v>
      </c>
      <c r="I17" t="s">
        <v>185</v>
      </c>
      <c r="J17" t="s">
        <v>186</v>
      </c>
    </row>
    <row r="18" spans="2:10" x14ac:dyDescent="0.4">
      <c r="B18" t="s">
        <v>191</v>
      </c>
      <c r="C18" t="s">
        <v>192</v>
      </c>
      <c r="D18" t="s">
        <v>93</v>
      </c>
      <c r="E18" t="s">
        <v>193</v>
      </c>
      <c r="F18" t="s">
        <v>194</v>
      </c>
      <c r="G18" t="s">
        <v>195</v>
      </c>
      <c r="H18" t="s">
        <v>111</v>
      </c>
      <c r="I18" t="s">
        <v>185</v>
      </c>
      <c r="J18" t="s">
        <v>99</v>
      </c>
    </row>
    <row r="19" spans="2:10" x14ac:dyDescent="0.4">
      <c r="B19" t="s">
        <v>196</v>
      </c>
      <c r="C19" t="s">
        <v>197</v>
      </c>
      <c r="D19" t="s">
        <v>93</v>
      </c>
      <c r="E19" t="s">
        <v>193</v>
      </c>
      <c r="F19" t="s">
        <v>194</v>
      </c>
      <c r="G19" t="s">
        <v>195</v>
      </c>
      <c r="H19" t="s">
        <v>111</v>
      </c>
      <c r="I19" t="s">
        <v>185</v>
      </c>
      <c r="J19" t="s">
        <v>99</v>
      </c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7487-05F7-4319-90B7-80833A452F4C}">
  <sheetPr codeName="Sheet21"/>
  <dimension ref="B2:Y1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58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77</v>
      </c>
    </row>
    <row r="11" spans="2:25" x14ac:dyDescent="0.4">
      <c r="B11" s="28">
        <f>COUNTA(B14:B1048576)</f>
        <v>4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 x14ac:dyDescent="0.4">
      <c r="B14" t="s">
        <v>198</v>
      </c>
      <c r="C14" t="s">
        <v>199</v>
      </c>
      <c r="D14" t="s">
        <v>200</v>
      </c>
      <c r="E14" t="s">
        <v>201</v>
      </c>
      <c r="F14" t="s">
        <v>199</v>
      </c>
      <c r="G14" t="s">
        <v>202</v>
      </c>
      <c r="H14" t="s">
        <v>107</v>
      </c>
      <c r="I14" t="s">
        <v>203</v>
      </c>
      <c r="J14" t="s">
        <v>99</v>
      </c>
    </row>
    <row r="15" spans="2:25" x14ac:dyDescent="0.4">
      <c r="B15" t="s">
        <v>198</v>
      </c>
      <c r="C15" t="s">
        <v>199</v>
      </c>
      <c r="D15" t="s">
        <v>200</v>
      </c>
      <c r="E15" t="s">
        <v>204</v>
      </c>
      <c r="F15" t="s">
        <v>199</v>
      </c>
      <c r="G15" t="s">
        <v>202</v>
      </c>
      <c r="H15" t="s">
        <v>107</v>
      </c>
      <c r="I15" t="s">
        <v>203</v>
      </c>
      <c r="J15" t="s">
        <v>99</v>
      </c>
    </row>
    <row r="16" spans="2:25" x14ac:dyDescent="0.4">
      <c r="B16" t="s">
        <v>205</v>
      </c>
      <c r="C16" t="s">
        <v>199</v>
      </c>
      <c r="D16" t="s">
        <v>200</v>
      </c>
      <c r="E16" t="s">
        <v>201</v>
      </c>
      <c r="F16" t="s">
        <v>199</v>
      </c>
      <c r="G16" t="s">
        <v>202</v>
      </c>
      <c r="H16" t="s">
        <v>107</v>
      </c>
      <c r="I16" t="s">
        <v>203</v>
      </c>
      <c r="J16" t="s">
        <v>99</v>
      </c>
    </row>
    <row r="17" spans="2:10" x14ac:dyDescent="0.4">
      <c r="B17" t="s">
        <v>205</v>
      </c>
      <c r="C17" t="s">
        <v>199</v>
      </c>
      <c r="D17" t="s">
        <v>200</v>
      </c>
      <c r="E17" t="s">
        <v>204</v>
      </c>
      <c r="F17" t="s">
        <v>199</v>
      </c>
      <c r="G17" t="s">
        <v>202</v>
      </c>
      <c r="H17" t="s">
        <v>107</v>
      </c>
      <c r="I17" t="s">
        <v>203</v>
      </c>
      <c r="J17" t="s">
        <v>99</v>
      </c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4BE2-2CA5-48E5-8C0C-01134F227BAE}">
  <sheetPr codeName="Sheet2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61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78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70E4-46DF-43B3-8192-54EF753C8F6C}">
  <sheetPr codeName="Sheet22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59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79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D7C5-2E98-4884-A014-DCBD73DB8384}">
  <sheetPr codeName="Sheet9"/>
  <dimension ref="B2:Y66"/>
  <sheetViews>
    <sheetView showGridLines="0" topLeftCell="D1" zoomScale="85" zoomScaleNormal="85" workbookViewId="0">
      <pane ySplit="13" topLeftCell="A14" activePane="bottomLeft" state="frozen"/>
      <selection activeCell="J1" sqref="J1:J1048576"/>
      <selection pane="bottomLeft" activeCell="M12" sqref="M12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81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 x14ac:dyDescent="0.4">
      <c r="B11" s="28">
        <f>COUNTA(B14:B1048576)</f>
        <v>53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 x14ac:dyDescent="0.4">
      <c r="B14" t="s">
        <v>206</v>
      </c>
      <c r="C14" t="s">
        <v>207</v>
      </c>
      <c r="D14" t="s">
        <v>123</v>
      </c>
      <c r="E14" t="s">
        <v>208</v>
      </c>
      <c r="F14" t="s">
        <v>209</v>
      </c>
      <c r="G14" t="s">
        <v>210</v>
      </c>
      <c r="H14" t="s">
        <v>111</v>
      </c>
      <c r="I14" t="s">
        <v>98</v>
      </c>
      <c r="J14" t="s">
        <v>186</v>
      </c>
    </row>
    <row r="15" spans="2:25" x14ac:dyDescent="0.4">
      <c r="B15" t="s">
        <v>206</v>
      </c>
      <c r="C15" t="s">
        <v>207</v>
      </c>
      <c r="D15" t="s">
        <v>123</v>
      </c>
      <c r="E15" t="s">
        <v>211</v>
      </c>
      <c r="F15" t="s">
        <v>212</v>
      </c>
      <c r="G15" t="s">
        <v>213</v>
      </c>
      <c r="H15" t="s">
        <v>130</v>
      </c>
      <c r="I15" t="s">
        <v>98</v>
      </c>
      <c r="J15" t="s">
        <v>186</v>
      </c>
    </row>
    <row r="16" spans="2:25" x14ac:dyDescent="0.4">
      <c r="B16" t="s">
        <v>214</v>
      </c>
      <c r="C16" t="s">
        <v>215</v>
      </c>
      <c r="D16" t="s">
        <v>123</v>
      </c>
      <c r="E16" t="s">
        <v>208</v>
      </c>
      <c r="F16" t="s">
        <v>209</v>
      </c>
      <c r="G16" t="s">
        <v>210</v>
      </c>
      <c r="H16" t="s">
        <v>111</v>
      </c>
      <c r="I16" t="s">
        <v>98</v>
      </c>
      <c r="J16" t="s">
        <v>186</v>
      </c>
    </row>
    <row r="17" spans="2:10" x14ac:dyDescent="0.4">
      <c r="B17" t="s">
        <v>214</v>
      </c>
      <c r="C17" t="s">
        <v>215</v>
      </c>
      <c r="D17" t="s">
        <v>123</v>
      </c>
      <c r="E17" t="s">
        <v>211</v>
      </c>
      <c r="F17" t="s">
        <v>212</v>
      </c>
      <c r="G17" t="s">
        <v>213</v>
      </c>
      <c r="H17" t="s">
        <v>130</v>
      </c>
      <c r="I17" t="s">
        <v>98</v>
      </c>
      <c r="J17" t="s">
        <v>186</v>
      </c>
    </row>
    <row r="18" spans="2:10" x14ac:dyDescent="0.4">
      <c r="B18" t="s">
        <v>91</v>
      </c>
      <c r="C18" t="s">
        <v>92</v>
      </c>
      <c r="D18" t="s">
        <v>123</v>
      </c>
      <c r="E18" t="s">
        <v>216</v>
      </c>
      <c r="F18" t="s">
        <v>217</v>
      </c>
      <c r="G18" t="s">
        <v>218</v>
      </c>
      <c r="H18" t="s">
        <v>107</v>
      </c>
      <c r="I18" t="s">
        <v>98</v>
      </c>
      <c r="J18" t="s">
        <v>99</v>
      </c>
    </row>
    <row r="19" spans="2:10" x14ac:dyDescent="0.4">
      <c r="B19" t="s">
        <v>91</v>
      </c>
      <c r="C19" t="s">
        <v>92</v>
      </c>
      <c r="D19" t="s">
        <v>93</v>
      </c>
      <c r="E19" t="s">
        <v>219</v>
      </c>
      <c r="F19" t="s">
        <v>220</v>
      </c>
      <c r="G19" t="s">
        <v>219</v>
      </c>
      <c r="H19" t="s">
        <v>111</v>
      </c>
      <c r="I19" t="s">
        <v>98</v>
      </c>
      <c r="J19" t="s">
        <v>186</v>
      </c>
    </row>
    <row r="20" spans="2:10" x14ac:dyDescent="0.4">
      <c r="B20" t="s">
        <v>91</v>
      </c>
      <c r="C20" t="s">
        <v>92</v>
      </c>
      <c r="D20" t="s">
        <v>123</v>
      </c>
      <c r="E20" t="s">
        <v>216</v>
      </c>
      <c r="F20" t="s">
        <v>217</v>
      </c>
      <c r="G20" t="s">
        <v>218</v>
      </c>
      <c r="H20" t="s">
        <v>107</v>
      </c>
      <c r="I20" t="s">
        <v>98</v>
      </c>
      <c r="J20" t="s">
        <v>99</v>
      </c>
    </row>
    <row r="21" spans="2:10" x14ac:dyDescent="0.4">
      <c r="B21" t="s">
        <v>91</v>
      </c>
      <c r="C21" t="s">
        <v>92</v>
      </c>
      <c r="D21" t="s">
        <v>93</v>
      </c>
      <c r="E21" t="s">
        <v>219</v>
      </c>
      <c r="F21" t="s">
        <v>220</v>
      </c>
      <c r="G21" t="s">
        <v>219</v>
      </c>
      <c r="H21" t="s">
        <v>111</v>
      </c>
      <c r="I21" t="s">
        <v>98</v>
      </c>
      <c r="J21" t="s">
        <v>186</v>
      </c>
    </row>
    <row r="22" spans="2:10" x14ac:dyDescent="0.4">
      <c r="B22" t="s">
        <v>91</v>
      </c>
      <c r="C22" t="s">
        <v>92</v>
      </c>
      <c r="D22" t="s">
        <v>123</v>
      </c>
      <c r="E22" t="s">
        <v>216</v>
      </c>
      <c r="F22" t="s">
        <v>217</v>
      </c>
      <c r="G22" t="s">
        <v>218</v>
      </c>
      <c r="H22" t="s">
        <v>107</v>
      </c>
      <c r="I22" t="s">
        <v>98</v>
      </c>
      <c r="J22" t="s">
        <v>99</v>
      </c>
    </row>
    <row r="23" spans="2:10" x14ac:dyDescent="0.4">
      <c r="B23" t="s">
        <v>91</v>
      </c>
      <c r="C23" t="s">
        <v>92</v>
      </c>
      <c r="D23" t="s">
        <v>93</v>
      </c>
      <c r="E23" t="s">
        <v>219</v>
      </c>
      <c r="F23" t="s">
        <v>220</v>
      </c>
      <c r="G23" t="s">
        <v>219</v>
      </c>
      <c r="H23" t="s">
        <v>111</v>
      </c>
      <c r="I23" t="s">
        <v>98</v>
      </c>
      <c r="J23" t="s">
        <v>186</v>
      </c>
    </row>
    <row r="24" spans="2:10" x14ac:dyDescent="0.4">
      <c r="B24" t="s">
        <v>91</v>
      </c>
      <c r="C24" t="s">
        <v>92</v>
      </c>
      <c r="D24" t="s">
        <v>123</v>
      </c>
      <c r="E24" t="s">
        <v>216</v>
      </c>
      <c r="F24" t="s">
        <v>217</v>
      </c>
      <c r="G24" t="s">
        <v>218</v>
      </c>
      <c r="H24" t="s">
        <v>107</v>
      </c>
      <c r="I24" t="s">
        <v>98</v>
      </c>
      <c r="J24" t="s">
        <v>99</v>
      </c>
    </row>
    <row r="25" spans="2:10" x14ac:dyDescent="0.4">
      <c r="B25" t="s">
        <v>91</v>
      </c>
      <c r="C25" t="s">
        <v>92</v>
      </c>
      <c r="D25" t="s">
        <v>93</v>
      </c>
      <c r="E25" t="s">
        <v>219</v>
      </c>
      <c r="F25" t="s">
        <v>220</v>
      </c>
      <c r="G25" t="s">
        <v>219</v>
      </c>
      <c r="H25" t="s">
        <v>111</v>
      </c>
      <c r="I25" t="s">
        <v>98</v>
      </c>
      <c r="J25" t="s">
        <v>186</v>
      </c>
    </row>
    <row r="26" spans="2:10" x14ac:dyDescent="0.4">
      <c r="B26" t="s">
        <v>100</v>
      </c>
      <c r="C26" t="s">
        <v>101</v>
      </c>
      <c r="D26" t="s">
        <v>123</v>
      </c>
      <c r="E26" t="s">
        <v>216</v>
      </c>
      <c r="F26" t="s">
        <v>217</v>
      </c>
      <c r="G26" t="s">
        <v>218</v>
      </c>
      <c r="H26" t="s">
        <v>107</v>
      </c>
      <c r="I26" t="s">
        <v>98</v>
      </c>
      <c r="J26" t="s">
        <v>99</v>
      </c>
    </row>
    <row r="27" spans="2:10" x14ac:dyDescent="0.4">
      <c r="B27" t="s">
        <v>100</v>
      </c>
      <c r="C27" t="s">
        <v>101</v>
      </c>
      <c r="D27" t="s">
        <v>93</v>
      </c>
      <c r="E27" t="s">
        <v>219</v>
      </c>
      <c r="F27" t="s">
        <v>220</v>
      </c>
      <c r="G27" t="s">
        <v>219</v>
      </c>
      <c r="H27" t="s">
        <v>221</v>
      </c>
      <c r="I27" t="s">
        <v>98</v>
      </c>
      <c r="J27" t="s">
        <v>186</v>
      </c>
    </row>
    <row r="28" spans="2:10" x14ac:dyDescent="0.4">
      <c r="B28" t="s">
        <v>100</v>
      </c>
      <c r="C28" t="s">
        <v>101</v>
      </c>
      <c r="D28" t="s">
        <v>123</v>
      </c>
      <c r="E28" t="s">
        <v>216</v>
      </c>
      <c r="F28" t="s">
        <v>217</v>
      </c>
      <c r="G28" t="s">
        <v>218</v>
      </c>
      <c r="H28" t="s">
        <v>107</v>
      </c>
      <c r="I28" t="s">
        <v>98</v>
      </c>
      <c r="J28" t="s">
        <v>99</v>
      </c>
    </row>
    <row r="29" spans="2:10" x14ac:dyDescent="0.4">
      <c r="B29" t="s">
        <v>100</v>
      </c>
      <c r="C29" t="s">
        <v>101</v>
      </c>
      <c r="D29" t="s">
        <v>93</v>
      </c>
      <c r="E29" t="s">
        <v>219</v>
      </c>
      <c r="F29" t="s">
        <v>220</v>
      </c>
      <c r="G29" t="s">
        <v>219</v>
      </c>
      <c r="H29" t="s">
        <v>221</v>
      </c>
      <c r="I29" t="s">
        <v>98</v>
      </c>
      <c r="J29" t="s">
        <v>186</v>
      </c>
    </row>
    <row r="30" spans="2:10" x14ac:dyDescent="0.4">
      <c r="B30" t="s">
        <v>100</v>
      </c>
      <c r="C30" t="s">
        <v>101</v>
      </c>
      <c r="D30" t="s">
        <v>123</v>
      </c>
      <c r="E30" t="s">
        <v>216</v>
      </c>
      <c r="F30" t="s">
        <v>217</v>
      </c>
      <c r="G30" t="s">
        <v>218</v>
      </c>
      <c r="H30" t="s">
        <v>107</v>
      </c>
      <c r="I30" t="s">
        <v>98</v>
      </c>
      <c r="J30" t="s">
        <v>99</v>
      </c>
    </row>
    <row r="31" spans="2:10" x14ac:dyDescent="0.4">
      <c r="B31" t="s">
        <v>100</v>
      </c>
      <c r="C31" t="s">
        <v>101</v>
      </c>
      <c r="D31" t="s">
        <v>93</v>
      </c>
      <c r="E31" t="s">
        <v>219</v>
      </c>
      <c r="F31" t="s">
        <v>220</v>
      </c>
      <c r="G31" t="s">
        <v>219</v>
      </c>
      <c r="H31" t="s">
        <v>221</v>
      </c>
      <c r="I31" t="s">
        <v>98</v>
      </c>
      <c r="J31" t="s">
        <v>186</v>
      </c>
    </row>
    <row r="32" spans="2:10" x14ac:dyDescent="0.4">
      <c r="B32" t="s">
        <v>100</v>
      </c>
      <c r="C32" t="s">
        <v>101</v>
      </c>
      <c r="D32" t="s">
        <v>123</v>
      </c>
      <c r="E32" t="s">
        <v>216</v>
      </c>
      <c r="F32" t="s">
        <v>217</v>
      </c>
      <c r="G32" t="s">
        <v>218</v>
      </c>
      <c r="H32" t="s">
        <v>107</v>
      </c>
      <c r="I32" t="s">
        <v>98</v>
      </c>
      <c r="J32" t="s">
        <v>99</v>
      </c>
    </row>
    <row r="33" spans="2:10" x14ac:dyDescent="0.4">
      <c r="B33" t="s">
        <v>100</v>
      </c>
      <c r="C33" t="s">
        <v>101</v>
      </c>
      <c r="D33" t="s">
        <v>93</v>
      </c>
      <c r="E33" t="s">
        <v>219</v>
      </c>
      <c r="F33" t="s">
        <v>220</v>
      </c>
      <c r="G33" t="s">
        <v>219</v>
      </c>
      <c r="H33" t="s">
        <v>221</v>
      </c>
      <c r="I33" t="s">
        <v>98</v>
      </c>
      <c r="J33" t="s">
        <v>186</v>
      </c>
    </row>
    <row r="34" spans="2:10" x14ac:dyDescent="0.4">
      <c r="B34" t="s">
        <v>222</v>
      </c>
      <c r="C34" t="s">
        <v>223</v>
      </c>
      <c r="D34" t="s">
        <v>123</v>
      </c>
      <c r="E34" t="s">
        <v>224</v>
      </c>
      <c r="F34" t="s">
        <v>225</v>
      </c>
      <c r="G34" t="s">
        <v>226</v>
      </c>
      <c r="H34" t="s">
        <v>111</v>
      </c>
      <c r="I34" t="s">
        <v>98</v>
      </c>
      <c r="J34" t="s">
        <v>186</v>
      </c>
    </row>
    <row r="35" spans="2:10" x14ac:dyDescent="0.4">
      <c r="B35" t="s">
        <v>227</v>
      </c>
      <c r="C35" t="s">
        <v>228</v>
      </c>
      <c r="D35" t="s">
        <v>93</v>
      </c>
      <c r="E35" t="s">
        <v>229</v>
      </c>
      <c r="F35" t="s">
        <v>230</v>
      </c>
      <c r="G35" t="s">
        <v>231</v>
      </c>
      <c r="H35" t="s">
        <v>232</v>
      </c>
      <c r="I35" t="s">
        <v>98</v>
      </c>
      <c r="J35" t="s">
        <v>186</v>
      </c>
    </row>
    <row r="36" spans="2:10" x14ac:dyDescent="0.4">
      <c r="B36" t="s">
        <v>227</v>
      </c>
      <c r="C36" t="s">
        <v>228</v>
      </c>
      <c r="D36" t="s">
        <v>93</v>
      </c>
      <c r="E36" t="s">
        <v>229</v>
      </c>
      <c r="F36" t="s">
        <v>233</v>
      </c>
      <c r="G36" t="s">
        <v>234</v>
      </c>
      <c r="H36" t="s">
        <v>221</v>
      </c>
      <c r="I36" t="s">
        <v>98</v>
      </c>
      <c r="J36" t="s">
        <v>186</v>
      </c>
    </row>
    <row r="37" spans="2:10" x14ac:dyDescent="0.4">
      <c r="B37" t="s">
        <v>235</v>
      </c>
      <c r="C37" t="s">
        <v>228</v>
      </c>
      <c r="D37" t="s">
        <v>93</v>
      </c>
      <c r="E37" t="s">
        <v>229</v>
      </c>
      <c r="F37" t="s">
        <v>230</v>
      </c>
      <c r="G37" t="s">
        <v>231</v>
      </c>
      <c r="H37" t="s">
        <v>232</v>
      </c>
      <c r="I37" t="s">
        <v>98</v>
      </c>
      <c r="J37" t="s">
        <v>186</v>
      </c>
    </row>
    <row r="38" spans="2:10" x14ac:dyDescent="0.4">
      <c r="B38" t="s">
        <v>235</v>
      </c>
      <c r="C38" t="s">
        <v>228</v>
      </c>
      <c r="D38" t="s">
        <v>93</v>
      </c>
      <c r="E38" t="s">
        <v>229</v>
      </c>
      <c r="F38" t="s">
        <v>233</v>
      </c>
      <c r="G38" t="s">
        <v>234</v>
      </c>
      <c r="H38" t="s">
        <v>221</v>
      </c>
      <c r="I38" t="s">
        <v>98</v>
      </c>
      <c r="J38" t="s">
        <v>186</v>
      </c>
    </row>
    <row r="39" spans="2:10" x14ac:dyDescent="0.4">
      <c r="B39" t="s">
        <v>236</v>
      </c>
      <c r="C39" t="s">
        <v>237</v>
      </c>
      <c r="D39" t="s">
        <v>93</v>
      </c>
      <c r="E39" t="s">
        <v>238</v>
      </c>
      <c r="F39" t="s">
        <v>239</v>
      </c>
      <c r="G39" t="s">
        <v>240</v>
      </c>
      <c r="H39" t="s">
        <v>232</v>
      </c>
      <c r="I39" t="s">
        <v>98</v>
      </c>
      <c r="J39" t="s">
        <v>186</v>
      </c>
    </row>
    <row r="40" spans="2:10" x14ac:dyDescent="0.4">
      <c r="B40" t="s">
        <v>236</v>
      </c>
      <c r="C40" t="s">
        <v>237</v>
      </c>
      <c r="D40" t="s">
        <v>93</v>
      </c>
      <c r="E40" t="s">
        <v>238</v>
      </c>
      <c r="F40" t="s">
        <v>241</v>
      </c>
      <c r="G40" t="s">
        <v>242</v>
      </c>
      <c r="H40" t="s">
        <v>221</v>
      </c>
      <c r="I40" t="s">
        <v>98</v>
      </c>
      <c r="J40" t="s">
        <v>186</v>
      </c>
    </row>
    <row r="41" spans="2:10" x14ac:dyDescent="0.4">
      <c r="B41" t="s">
        <v>137</v>
      </c>
      <c r="C41" t="s">
        <v>138</v>
      </c>
      <c r="D41" t="s">
        <v>93</v>
      </c>
      <c r="E41" t="s">
        <v>238</v>
      </c>
      <c r="F41" t="s">
        <v>239</v>
      </c>
      <c r="G41" t="s">
        <v>240</v>
      </c>
      <c r="H41" t="s">
        <v>232</v>
      </c>
      <c r="I41" t="s">
        <v>98</v>
      </c>
      <c r="J41" t="s">
        <v>186</v>
      </c>
    </row>
    <row r="42" spans="2:10" x14ac:dyDescent="0.4">
      <c r="B42" t="s">
        <v>137</v>
      </c>
      <c r="C42" t="s">
        <v>138</v>
      </c>
      <c r="D42" t="s">
        <v>93</v>
      </c>
      <c r="E42" t="s">
        <v>238</v>
      </c>
      <c r="F42" t="s">
        <v>241</v>
      </c>
      <c r="G42" t="s">
        <v>242</v>
      </c>
      <c r="H42" t="s">
        <v>221</v>
      </c>
      <c r="I42" t="s">
        <v>98</v>
      </c>
      <c r="J42" t="s">
        <v>186</v>
      </c>
    </row>
    <row r="43" spans="2:10" x14ac:dyDescent="0.4">
      <c r="B43" t="s">
        <v>142</v>
      </c>
      <c r="C43" t="s">
        <v>143</v>
      </c>
      <c r="D43" t="s">
        <v>93</v>
      </c>
      <c r="E43" t="s">
        <v>243</v>
      </c>
      <c r="F43" t="s">
        <v>244</v>
      </c>
      <c r="G43" t="s">
        <v>245</v>
      </c>
      <c r="H43" t="s">
        <v>232</v>
      </c>
      <c r="I43" t="s">
        <v>98</v>
      </c>
      <c r="J43" t="s">
        <v>186</v>
      </c>
    </row>
    <row r="44" spans="2:10" x14ac:dyDescent="0.4">
      <c r="B44" t="s">
        <v>142</v>
      </c>
      <c r="C44" t="s">
        <v>143</v>
      </c>
      <c r="D44" t="s">
        <v>93</v>
      </c>
      <c r="E44" t="s">
        <v>243</v>
      </c>
      <c r="F44" t="s">
        <v>246</v>
      </c>
      <c r="G44" t="s">
        <v>245</v>
      </c>
      <c r="H44" t="s">
        <v>221</v>
      </c>
      <c r="I44" t="s">
        <v>98</v>
      </c>
      <c r="J44" t="s">
        <v>186</v>
      </c>
    </row>
    <row r="45" spans="2:10" x14ac:dyDescent="0.4">
      <c r="B45" t="s">
        <v>142</v>
      </c>
      <c r="C45" t="s">
        <v>147</v>
      </c>
      <c r="D45" t="s">
        <v>93</v>
      </c>
      <c r="E45" t="s">
        <v>247</v>
      </c>
      <c r="F45" t="s">
        <v>244</v>
      </c>
      <c r="G45" t="s">
        <v>248</v>
      </c>
      <c r="H45" t="s">
        <v>232</v>
      </c>
      <c r="I45" t="s">
        <v>98</v>
      </c>
      <c r="J45" t="s">
        <v>186</v>
      </c>
    </row>
    <row r="46" spans="2:10" x14ac:dyDescent="0.4">
      <c r="B46" t="s">
        <v>142</v>
      </c>
      <c r="C46" t="s">
        <v>147</v>
      </c>
      <c r="D46" t="s">
        <v>93</v>
      </c>
      <c r="E46" t="s">
        <v>247</v>
      </c>
      <c r="F46" t="s">
        <v>246</v>
      </c>
      <c r="G46" t="s">
        <v>248</v>
      </c>
      <c r="H46" t="s">
        <v>221</v>
      </c>
      <c r="I46" t="s">
        <v>98</v>
      </c>
      <c r="J46" t="s">
        <v>186</v>
      </c>
    </row>
    <row r="47" spans="2:10" x14ac:dyDescent="0.4">
      <c r="B47" t="s">
        <v>170</v>
      </c>
      <c r="C47" t="s">
        <v>143</v>
      </c>
      <c r="D47" t="s">
        <v>93</v>
      </c>
      <c r="E47" t="s">
        <v>243</v>
      </c>
      <c r="F47" t="s">
        <v>244</v>
      </c>
      <c r="G47" t="s">
        <v>245</v>
      </c>
      <c r="H47" t="s">
        <v>232</v>
      </c>
      <c r="I47" t="s">
        <v>98</v>
      </c>
      <c r="J47" t="s">
        <v>186</v>
      </c>
    </row>
    <row r="48" spans="2:10" x14ac:dyDescent="0.4">
      <c r="B48" t="s">
        <v>170</v>
      </c>
      <c r="C48" t="s">
        <v>143</v>
      </c>
      <c r="D48" t="s">
        <v>93</v>
      </c>
      <c r="E48" t="s">
        <v>243</v>
      </c>
      <c r="F48" t="s">
        <v>246</v>
      </c>
      <c r="G48" t="s">
        <v>245</v>
      </c>
      <c r="H48" t="s">
        <v>221</v>
      </c>
      <c r="I48" t="s">
        <v>98</v>
      </c>
      <c r="J48" t="s">
        <v>186</v>
      </c>
    </row>
    <row r="49" spans="2:10" x14ac:dyDescent="0.4">
      <c r="B49" t="s">
        <v>170</v>
      </c>
      <c r="C49" t="s">
        <v>147</v>
      </c>
      <c r="D49" t="s">
        <v>93</v>
      </c>
      <c r="E49" t="s">
        <v>247</v>
      </c>
      <c r="F49" t="s">
        <v>244</v>
      </c>
      <c r="G49" t="s">
        <v>248</v>
      </c>
      <c r="H49" t="s">
        <v>232</v>
      </c>
      <c r="I49" t="s">
        <v>98</v>
      </c>
      <c r="J49" t="s">
        <v>186</v>
      </c>
    </row>
    <row r="50" spans="2:10" x14ac:dyDescent="0.4">
      <c r="B50" t="s">
        <v>170</v>
      </c>
      <c r="C50" t="s">
        <v>147</v>
      </c>
      <c r="D50" t="s">
        <v>93</v>
      </c>
      <c r="E50" t="s">
        <v>247</v>
      </c>
      <c r="F50" t="s">
        <v>246</v>
      </c>
      <c r="G50" t="s">
        <v>248</v>
      </c>
      <c r="H50" t="s">
        <v>221</v>
      </c>
      <c r="I50" t="s">
        <v>98</v>
      </c>
      <c r="J50" t="s">
        <v>186</v>
      </c>
    </row>
    <row r="51" spans="2:10" x14ac:dyDescent="0.4">
      <c r="B51" t="s">
        <v>249</v>
      </c>
      <c r="C51" t="s">
        <v>250</v>
      </c>
      <c r="D51" t="s">
        <v>93</v>
      </c>
      <c r="E51" t="s">
        <v>251</v>
      </c>
      <c r="F51" t="s">
        <v>230</v>
      </c>
      <c r="G51" t="s">
        <v>231</v>
      </c>
      <c r="H51" t="s">
        <v>232</v>
      </c>
      <c r="I51" t="s">
        <v>98</v>
      </c>
      <c r="J51" t="s">
        <v>186</v>
      </c>
    </row>
    <row r="52" spans="2:10" x14ac:dyDescent="0.4">
      <c r="B52" t="s">
        <v>249</v>
      </c>
      <c r="C52" t="s">
        <v>250</v>
      </c>
      <c r="D52" t="s">
        <v>93</v>
      </c>
      <c r="E52" t="s">
        <v>251</v>
      </c>
      <c r="F52" t="s">
        <v>233</v>
      </c>
      <c r="G52" t="s">
        <v>234</v>
      </c>
      <c r="H52" t="s">
        <v>221</v>
      </c>
      <c r="I52" t="s">
        <v>98</v>
      </c>
      <c r="J52" t="s">
        <v>186</v>
      </c>
    </row>
    <row r="53" spans="2:10" x14ac:dyDescent="0.4">
      <c r="B53" t="s">
        <v>252</v>
      </c>
      <c r="C53" t="s">
        <v>253</v>
      </c>
      <c r="D53" t="s">
        <v>93</v>
      </c>
      <c r="E53" t="s">
        <v>254</v>
      </c>
      <c r="F53" t="s">
        <v>255</v>
      </c>
      <c r="G53" t="s">
        <v>256</v>
      </c>
      <c r="H53" t="s">
        <v>232</v>
      </c>
      <c r="I53" t="s">
        <v>98</v>
      </c>
      <c r="J53" t="s">
        <v>186</v>
      </c>
    </row>
    <row r="54" spans="2:10" x14ac:dyDescent="0.4">
      <c r="B54" t="s">
        <v>252</v>
      </c>
      <c r="C54" t="s">
        <v>253</v>
      </c>
      <c r="D54" t="s">
        <v>93</v>
      </c>
      <c r="E54" t="s">
        <v>254</v>
      </c>
      <c r="F54" t="s">
        <v>257</v>
      </c>
      <c r="G54" t="s">
        <v>256</v>
      </c>
      <c r="H54" t="s">
        <v>221</v>
      </c>
      <c r="I54" t="s">
        <v>98</v>
      </c>
      <c r="J54" t="s">
        <v>186</v>
      </c>
    </row>
    <row r="55" spans="2:10" x14ac:dyDescent="0.4">
      <c r="B55" t="s">
        <v>258</v>
      </c>
      <c r="C55" t="s">
        <v>259</v>
      </c>
      <c r="D55" t="s">
        <v>93</v>
      </c>
      <c r="E55" t="s">
        <v>260</v>
      </c>
      <c r="F55" t="s">
        <v>230</v>
      </c>
      <c r="G55" t="s">
        <v>231</v>
      </c>
      <c r="H55" t="s">
        <v>232</v>
      </c>
      <c r="I55" t="s">
        <v>98</v>
      </c>
      <c r="J55" t="s">
        <v>186</v>
      </c>
    </row>
    <row r="56" spans="2:10" x14ac:dyDescent="0.4">
      <c r="B56" t="s">
        <v>258</v>
      </c>
      <c r="C56" t="s">
        <v>259</v>
      </c>
      <c r="D56" t="s">
        <v>93</v>
      </c>
      <c r="E56" t="s">
        <v>260</v>
      </c>
      <c r="F56" t="s">
        <v>233</v>
      </c>
      <c r="G56" t="s">
        <v>234</v>
      </c>
      <c r="H56" t="s">
        <v>221</v>
      </c>
      <c r="I56" t="s">
        <v>98</v>
      </c>
      <c r="J56" t="s">
        <v>186</v>
      </c>
    </row>
    <row r="57" spans="2:10" x14ac:dyDescent="0.4">
      <c r="B57" t="s">
        <v>261</v>
      </c>
      <c r="C57" t="s">
        <v>259</v>
      </c>
      <c r="D57" t="s">
        <v>93</v>
      </c>
      <c r="E57" t="s">
        <v>260</v>
      </c>
      <c r="F57" t="s">
        <v>230</v>
      </c>
      <c r="G57" t="s">
        <v>231</v>
      </c>
      <c r="H57" t="s">
        <v>232</v>
      </c>
      <c r="I57" t="s">
        <v>98</v>
      </c>
      <c r="J57" t="s">
        <v>186</v>
      </c>
    </row>
    <row r="58" spans="2:10" x14ac:dyDescent="0.4">
      <c r="B58" t="s">
        <v>261</v>
      </c>
      <c r="C58" t="s">
        <v>259</v>
      </c>
      <c r="D58" t="s">
        <v>93</v>
      </c>
      <c r="E58" t="s">
        <v>260</v>
      </c>
      <c r="F58" t="s">
        <v>233</v>
      </c>
      <c r="G58" t="s">
        <v>234</v>
      </c>
      <c r="H58" t="s">
        <v>221</v>
      </c>
      <c r="I58" t="s">
        <v>98</v>
      </c>
      <c r="J58" t="s">
        <v>186</v>
      </c>
    </row>
    <row r="59" spans="2:10" x14ac:dyDescent="0.4">
      <c r="B59" t="s">
        <v>262</v>
      </c>
      <c r="C59" t="s">
        <v>263</v>
      </c>
      <c r="D59" t="s">
        <v>93</v>
      </c>
      <c r="E59" t="s">
        <v>264</v>
      </c>
      <c r="F59" t="s">
        <v>230</v>
      </c>
      <c r="G59" t="s">
        <v>231</v>
      </c>
      <c r="H59" t="s">
        <v>232</v>
      </c>
      <c r="I59" t="s">
        <v>98</v>
      </c>
      <c r="J59" t="s">
        <v>186</v>
      </c>
    </row>
    <row r="60" spans="2:10" x14ac:dyDescent="0.4">
      <c r="B60" t="s">
        <v>262</v>
      </c>
      <c r="C60" t="s">
        <v>263</v>
      </c>
      <c r="D60" t="s">
        <v>93</v>
      </c>
      <c r="E60" t="s">
        <v>264</v>
      </c>
      <c r="F60" t="s">
        <v>233</v>
      </c>
      <c r="G60" t="s">
        <v>234</v>
      </c>
      <c r="H60" t="s">
        <v>221</v>
      </c>
      <c r="I60" t="s">
        <v>98</v>
      </c>
      <c r="J60" t="s">
        <v>186</v>
      </c>
    </row>
    <row r="61" spans="2:10" x14ac:dyDescent="0.4">
      <c r="B61" t="s">
        <v>265</v>
      </c>
      <c r="C61" t="s">
        <v>266</v>
      </c>
      <c r="D61" t="s">
        <v>93</v>
      </c>
      <c r="E61" t="s">
        <v>267</v>
      </c>
      <c r="F61" t="s">
        <v>268</v>
      </c>
      <c r="G61" t="s">
        <v>269</v>
      </c>
      <c r="H61" t="s">
        <v>232</v>
      </c>
      <c r="I61" t="s">
        <v>98</v>
      </c>
      <c r="J61" t="s">
        <v>186</v>
      </c>
    </row>
    <row r="62" spans="2:10" x14ac:dyDescent="0.4">
      <c r="B62" t="s">
        <v>265</v>
      </c>
      <c r="C62" t="s">
        <v>266</v>
      </c>
      <c r="D62" t="s">
        <v>93</v>
      </c>
      <c r="E62" t="s">
        <v>267</v>
      </c>
      <c r="F62" t="s">
        <v>270</v>
      </c>
      <c r="G62" t="s">
        <v>271</v>
      </c>
      <c r="H62" t="s">
        <v>221</v>
      </c>
      <c r="I62" t="s">
        <v>98</v>
      </c>
      <c r="J62" t="s">
        <v>186</v>
      </c>
    </row>
    <row r="63" spans="2:10" x14ac:dyDescent="0.4">
      <c r="B63" t="s">
        <v>198</v>
      </c>
      <c r="C63" t="s">
        <v>199</v>
      </c>
      <c r="D63" t="s">
        <v>93</v>
      </c>
      <c r="E63" t="s">
        <v>272</v>
      </c>
      <c r="F63" t="s">
        <v>239</v>
      </c>
      <c r="G63" t="s">
        <v>273</v>
      </c>
      <c r="H63" t="s">
        <v>232</v>
      </c>
      <c r="I63" t="s">
        <v>274</v>
      </c>
      <c r="J63" t="s">
        <v>186</v>
      </c>
    </row>
    <row r="64" spans="2:10" x14ac:dyDescent="0.4">
      <c r="B64" t="s">
        <v>198</v>
      </c>
      <c r="C64" t="s">
        <v>199</v>
      </c>
      <c r="D64" t="s">
        <v>93</v>
      </c>
      <c r="E64" t="s">
        <v>272</v>
      </c>
      <c r="F64" t="s">
        <v>241</v>
      </c>
      <c r="G64" t="s">
        <v>275</v>
      </c>
      <c r="H64" t="s">
        <v>221</v>
      </c>
      <c r="I64" t="s">
        <v>274</v>
      </c>
      <c r="J64" t="s">
        <v>186</v>
      </c>
    </row>
    <row r="65" spans="2:10" x14ac:dyDescent="0.4">
      <c r="B65" t="s">
        <v>205</v>
      </c>
      <c r="C65" t="s">
        <v>199</v>
      </c>
      <c r="D65" t="s">
        <v>93</v>
      </c>
      <c r="E65" t="s">
        <v>272</v>
      </c>
      <c r="F65" t="s">
        <v>239</v>
      </c>
      <c r="G65" t="s">
        <v>273</v>
      </c>
      <c r="H65" t="s">
        <v>232</v>
      </c>
      <c r="I65" t="s">
        <v>274</v>
      </c>
      <c r="J65" t="s">
        <v>186</v>
      </c>
    </row>
    <row r="66" spans="2:10" x14ac:dyDescent="0.4">
      <c r="B66" t="s">
        <v>205</v>
      </c>
      <c r="C66" t="s">
        <v>199</v>
      </c>
      <c r="D66" t="s">
        <v>93</v>
      </c>
      <c r="E66" t="s">
        <v>272</v>
      </c>
      <c r="F66" t="s">
        <v>241</v>
      </c>
      <c r="G66" t="s">
        <v>275</v>
      </c>
      <c r="H66" t="s">
        <v>221</v>
      </c>
      <c r="I66" t="s">
        <v>274</v>
      </c>
      <c r="J66" t="s">
        <v>186</v>
      </c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56E3-9127-40D5-8F5D-0B1E430FFAE1}">
  <dimension ref="B2:Y117"/>
  <sheetViews>
    <sheetView showGridLines="0" tabSelected="1" zoomScale="85" zoomScaleNormal="85" workbookViewId="0">
      <pane ySplit="13" topLeftCell="A24" activePane="bottomLeft" state="frozen"/>
      <selection activeCell="J1" sqref="J1:J1048576"/>
      <selection pane="bottomLeft" activeCell="D13" sqref="D13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89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 x14ac:dyDescent="0.4">
      <c r="B11" s="28">
        <f>COUNTA(B14:B1048576)</f>
        <v>104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90</v>
      </c>
      <c r="E13" s="77"/>
      <c r="F13" s="77"/>
      <c r="G13" s="77"/>
      <c r="H13" s="77"/>
      <c r="I13" s="77"/>
      <c r="J13" s="77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 x14ac:dyDescent="0.4">
      <c r="B14" t="s">
        <v>276</v>
      </c>
      <c r="C14" t="s">
        <v>277</v>
      </c>
      <c r="D14" t="s">
        <v>278</v>
      </c>
    </row>
    <row r="15" spans="2:25" x14ac:dyDescent="0.4">
      <c r="B15" t="s">
        <v>279</v>
      </c>
      <c r="C15" t="s">
        <v>280</v>
      </c>
      <c r="D15" t="s">
        <v>278</v>
      </c>
    </row>
    <row r="16" spans="2:25" x14ac:dyDescent="0.4">
      <c r="B16" t="s">
        <v>281</v>
      </c>
      <c r="C16" t="s">
        <v>282</v>
      </c>
      <c r="D16" t="s">
        <v>278</v>
      </c>
    </row>
    <row r="17" spans="2:4" x14ac:dyDescent="0.4">
      <c r="B17" t="s">
        <v>283</v>
      </c>
      <c r="C17" t="s">
        <v>284</v>
      </c>
      <c r="D17" t="s">
        <v>278</v>
      </c>
    </row>
    <row r="18" spans="2:4" x14ac:dyDescent="0.4">
      <c r="B18" t="s">
        <v>285</v>
      </c>
      <c r="C18" t="s">
        <v>286</v>
      </c>
      <c r="D18" t="s">
        <v>278</v>
      </c>
    </row>
    <row r="19" spans="2:4" x14ac:dyDescent="0.4">
      <c r="B19" t="s">
        <v>287</v>
      </c>
      <c r="C19" t="s">
        <v>288</v>
      </c>
      <c r="D19" t="s">
        <v>278</v>
      </c>
    </row>
    <row r="20" spans="2:4" x14ac:dyDescent="0.4">
      <c r="B20" t="s">
        <v>206</v>
      </c>
      <c r="C20" t="s">
        <v>207</v>
      </c>
      <c r="D20" t="s">
        <v>278</v>
      </c>
    </row>
    <row r="21" spans="2:4" x14ac:dyDescent="0.4">
      <c r="B21" t="s">
        <v>214</v>
      </c>
      <c r="C21" t="s">
        <v>215</v>
      </c>
      <c r="D21" t="s">
        <v>278</v>
      </c>
    </row>
    <row r="22" spans="2:4" x14ac:dyDescent="0.4">
      <c r="B22" t="s">
        <v>91</v>
      </c>
      <c r="C22" t="s">
        <v>92</v>
      </c>
      <c r="D22" t="s">
        <v>278</v>
      </c>
    </row>
    <row r="23" spans="2:4" x14ac:dyDescent="0.4">
      <c r="B23" t="s">
        <v>100</v>
      </c>
      <c r="C23" t="s">
        <v>101</v>
      </c>
      <c r="D23" t="s">
        <v>278</v>
      </c>
    </row>
    <row r="24" spans="2:4" x14ac:dyDescent="0.4">
      <c r="B24" t="s">
        <v>289</v>
      </c>
      <c r="C24" t="s">
        <v>290</v>
      </c>
      <c r="D24" t="s">
        <v>291</v>
      </c>
    </row>
    <row r="25" spans="2:4" x14ac:dyDescent="0.4">
      <c r="B25" t="s">
        <v>292</v>
      </c>
      <c r="C25" t="s">
        <v>290</v>
      </c>
      <c r="D25" t="s">
        <v>291</v>
      </c>
    </row>
    <row r="26" spans="2:4" x14ac:dyDescent="0.4">
      <c r="B26" t="s">
        <v>293</v>
      </c>
      <c r="C26" t="s">
        <v>294</v>
      </c>
      <c r="D26" t="s">
        <v>291</v>
      </c>
    </row>
    <row r="27" spans="2:4" x14ac:dyDescent="0.4">
      <c r="B27" t="s">
        <v>293</v>
      </c>
      <c r="C27" t="s">
        <v>295</v>
      </c>
      <c r="D27" t="s">
        <v>278</v>
      </c>
    </row>
    <row r="28" spans="2:4" x14ac:dyDescent="0.4">
      <c r="B28" t="s">
        <v>222</v>
      </c>
      <c r="C28" t="s">
        <v>296</v>
      </c>
      <c r="D28" t="s">
        <v>278</v>
      </c>
    </row>
    <row r="29" spans="2:4" x14ac:dyDescent="0.4">
      <c r="B29" t="s">
        <v>222</v>
      </c>
      <c r="C29" t="s">
        <v>297</v>
      </c>
      <c r="D29" t="s">
        <v>278</v>
      </c>
    </row>
    <row r="30" spans="2:4" x14ac:dyDescent="0.4">
      <c r="B30" t="s">
        <v>222</v>
      </c>
      <c r="C30" t="s">
        <v>223</v>
      </c>
      <c r="D30" t="s">
        <v>278</v>
      </c>
    </row>
    <row r="31" spans="2:4" x14ac:dyDescent="0.4">
      <c r="B31" t="s">
        <v>222</v>
      </c>
      <c r="C31" t="s">
        <v>298</v>
      </c>
      <c r="D31" t="s">
        <v>278</v>
      </c>
    </row>
    <row r="32" spans="2:4" x14ac:dyDescent="0.4">
      <c r="B32" t="s">
        <v>299</v>
      </c>
      <c r="C32" t="s">
        <v>296</v>
      </c>
      <c r="D32" t="s">
        <v>278</v>
      </c>
    </row>
    <row r="33" spans="2:4" x14ac:dyDescent="0.4">
      <c r="B33" t="s">
        <v>299</v>
      </c>
      <c r="C33" t="s">
        <v>297</v>
      </c>
      <c r="D33" t="s">
        <v>278</v>
      </c>
    </row>
    <row r="34" spans="2:4" x14ac:dyDescent="0.4">
      <c r="B34" t="s">
        <v>299</v>
      </c>
      <c r="C34" t="s">
        <v>300</v>
      </c>
      <c r="D34" t="s">
        <v>291</v>
      </c>
    </row>
    <row r="35" spans="2:4" x14ac:dyDescent="0.4">
      <c r="B35" t="s">
        <v>299</v>
      </c>
      <c r="C35" t="s">
        <v>298</v>
      </c>
      <c r="D35" t="s">
        <v>278</v>
      </c>
    </row>
    <row r="36" spans="2:4" x14ac:dyDescent="0.4">
      <c r="B36" t="s">
        <v>299</v>
      </c>
      <c r="C36" t="s">
        <v>301</v>
      </c>
      <c r="D36" t="s">
        <v>278</v>
      </c>
    </row>
    <row r="37" spans="2:4" x14ac:dyDescent="0.4">
      <c r="B37" t="s">
        <v>227</v>
      </c>
      <c r="C37" t="s">
        <v>228</v>
      </c>
      <c r="D37" t="s">
        <v>278</v>
      </c>
    </row>
    <row r="38" spans="2:4" x14ac:dyDescent="0.4">
      <c r="B38" t="s">
        <v>235</v>
      </c>
      <c r="C38" t="s">
        <v>228</v>
      </c>
      <c r="D38" t="s">
        <v>278</v>
      </c>
    </row>
    <row r="39" spans="2:4" x14ac:dyDescent="0.4">
      <c r="B39" t="s">
        <v>115</v>
      </c>
      <c r="C39" t="s">
        <v>116</v>
      </c>
      <c r="D39" t="s">
        <v>278</v>
      </c>
    </row>
    <row r="40" spans="2:4" x14ac:dyDescent="0.4">
      <c r="B40" t="s">
        <v>115</v>
      </c>
      <c r="C40" t="s">
        <v>122</v>
      </c>
      <c r="D40" t="s">
        <v>278</v>
      </c>
    </row>
    <row r="41" spans="2:4" x14ac:dyDescent="0.4">
      <c r="B41" t="s">
        <v>115</v>
      </c>
      <c r="C41" t="s">
        <v>121</v>
      </c>
      <c r="D41" t="s">
        <v>278</v>
      </c>
    </row>
    <row r="42" spans="2:4" x14ac:dyDescent="0.4">
      <c r="B42" t="s">
        <v>134</v>
      </c>
      <c r="C42" t="s">
        <v>116</v>
      </c>
      <c r="D42" t="s">
        <v>278</v>
      </c>
    </row>
    <row r="43" spans="2:4" x14ac:dyDescent="0.4">
      <c r="B43" t="s">
        <v>134</v>
      </c>
      <c r="C43" t="s">
        <v>136</v>
      </c>
      <c r="D43" t="s">
        <v>278</v>
      </c>
    </row>
    <row r="44" spans="2:4" x14ac:dyDescent="0.4">
      <c r="B44" t="s">
        <v>180</v>
      </c>
      <c r="C44" t="s">
        <v>181</v>
      </c>
      <c r="D44" t="s">
        <v>278</v>
      </c>
    </row>
    <row r="45" spans="2:4" x14ac:dyDescent="0.4">
      <c r="B45" t="s">
        <v>180</v>
      </c>
      <c r="C45" t="s">
        <v>187</v>
      </c>
      <c r="D45" t="s">
        <v>278</v>
      </c>
    </row>
    <row r="46" spans="2:4" x14ac:dyDescent="0.4">
      <c r="B46" t="s">
        <v>236</v>
      </c>
      <c r="C46" t="s">
        <v>237</v>
      </c>
      <c r="D46" t="s">
        <v>278</v>
      </c>
    </row>
    <row r="47" spans="2:4" x14ac:dyDescent="0.4">
      <c r="B47" t="s">
        <v>236</v>
      </c>
      <c r="C47" t="s">
        <v>302</v>
      </c>
      <c r="D47" t="s">
        <v>278</v>
      </c>
    </row>
    <row r="48" spans="2:4" x14ac:dyDescent="0.4">
      <c r="B48" t="s">
        <v>188</v>
      </c>
      <c r="C48" t="s">
        <v>189</v>
      </c>
      <c r="D48" t="s">
        <v>278</v>
      </c>
    </row>
    <row r="49" spans="2:4" x14ac:dyDescent="0.4">
      <c r="B49" t="s">
        <v>190</v>
      </c>
      <c r="C49" t="s">
        <v>189</v>
      </c>
      <c r="D49" t="s">
        <v>278</v>
      </c>
    </row>
    <row r="50" spans="2:4" x14ac:dyDescent="0.4">
      <c r="B50" t="s">
        <v>303</v>
      </c>
      <c r="C50" t="s">
        <v>304</v>
      </c>
      <c r="D50" t="s">
        <v>278</v>
      </c>
    </row>
    <row r="51" spans="2:4" x14ac:dyDescent="0.4">
      <c r="B51" t="s">
        <v>137</v>
      </c>
      <c r="C51" t="s">
        <v>138</v>
      </c>
      <c r="D51" t="s">
        <v>278</v>
      </c>
    </row>
    <row r="52" spans="2:4" x14ac:dyDescent="0.4">
      <c r="B52" t="s">
        <v>137</v>
      </c>
      <c r="C52" t="s">
        <v>305</v>
      </c>
      <c r="D52" t="s">
        <v>278</v>
      </c>
    </row>
    <row r="53" spans="2:4" x14ac:dyDescent="0.4">
      <c r="B53" t="s">
        <v>306</v>
      </c>
      <c r="C53" t="s">
        <v>307</v>
      </c>
      <c r="D53" t="s">
        <v>278</v>
      </c>
    </row>
    <row r="54" spans="2:4" x14ac:dyDescent="0.4">
      <c r="B54" t="s">
        <v>142</v>
      </c>
      <c r="C54" t="s">
        <v>308</v>
      </c>
      <c r="D54" t="s">
        <v>291</v>
      </c>
    </row>
    <row r="55" spans="2:4" x14ac:dyDescent="0.4">
      <c r="B55" t="s">
        <v>142</v>
      </c>
      <c r="C55" t="s">
        <v>309</v>
      </c>
      <c r="D55" t="s">
        <v>278</v>
      </c>
    </row>
    <row r="56" spans="2:4" x14ac:dyDescent="0.4">
      <c r="B56" t="s">
        <v>142</v>
      </c>
      <c r="C56" t="s">
        <v>171</v>
      </c>
      <c r="D56" t="s">
        <v>278</v>
      </c>
    </row>
    <row r="57" spans="2:4" x14ac:dyDescent="0.4">
      <c r="B57" t="s">
        <v>142</v>
      </c>
      <c r="C57" t="s">
        <v>310</v>
      </c>
      <c r="D57" t="s">
        <v>291</v>
      </c>
    </row>
    <row r="58" spans="2:4" x14ac:dyDescent="0.4">
      <c r="B58" t="s">
        <v>142</v>
      </c>
      <c r="C58" t="s">
        <v>147</v>
      </c>
      <c r="D58" t="s">
        <v>278</v>
      </c>
    </row>
    <row r="59" spans="2:4" x14ac:dyDescent="0.4">
      <c r="B59" t="s">
        <v>142</v>
      </c>
      <c r="C59" t="s">
        <v>143</v>
      </c>
      <c r="D59" t="s">
        <v>278</v>
      </c>
    </row>
    <row r="60" spans="2:4" x14ac:dyDescent="0.4">
      <c r="B60" t="s">
        <v>142</v>
      </c>
      <c r="C60" t="s">
        <v>166</v>
      </c>
      <c r="D60" t="s">
        <v>278</v>
      </c>
    </row>
    <row r="61" spans="2:4" x14ac:dyDescent="0.4">
      <c r="B61" t="s">
        <v>142</v>
      </c>
      <c r="C61" t="s">
        <v>311</v>
      </c>
      <c r="D61" t="s">
        <v>278</v>
      </c>
    </row>
    <row r="62" spans="2:4" x14ac:dyDescent="0.4">
      <c r="B62" t="s">
        <v>142</v>
      </c>
      <c r="C62" t="s">
        <v>312</v>
      </c>
      <c r="D62" t="s">
        <v>291</v>
      </c>
    </row>
    <row r="63" spans="2:4" x14ac:dyDescent="0.4">
      <c r="B63" t="s">
        <v>142</v>
      </c>
      <c r="C63" t="s">
        <v>151</v>
      </c>
      <c r="D63" t="s">
        <v>278</v>
      </c>
    </row>
    <row r="64" spans="2:4" x14ac:dyDescent="0.4">
      <c r="B64" t="s">
        <v>142</v>
      </c>
      <c r="C64" t="s">
        <v>161</v>
      </c>
      <c r="D64" t="s">
        <v>278</v>
      </c>
    </row>
    <row r="65" spans="2:4" x14ac:dyDescent="0.4">
      <c r="B65" t="s">
        <v>142</v>
      </c>
      <c r="C65" t="s">
        <v>165</v>
      </c>
      <c r="D65" t="s">
        <v>291</v>
      </c>
    </row>
    <row r="66" spans="2:4" x14ac:dyDescent="0.4">
      <c r="B66" t="s">
        <v>170</v>
      </c>
      <c r="C66" t="s">
        <v>308</v>
      </c>
      <c r="D66" t="s">
        <v>291</v>
      </c>
    </row>
    <row r="67" spans="2:4" x14ac:dyDescent="0.4">
      <c r="B67" t="s">
        <v>170</v>
      </c>
      <c r="C67" t="s">
        <v>174</v>
      </c>
      <c r="D67" t="s">
        <v>278</v>
      </c>
    </row>
    <row r="68" spans="2:4" x14ac:dyDescent="0.4">
      <c r="B68" t="s">
        <v>170</v>
      </c>
      <c r="C68" t="s">
        <v>171</v>
      </c>
      <c r="D68" t="s">
        <v>278</v>
      </c>
    </row>
    <row r="69" spans="2:4" x14ac:dyDescent="0.4">
      <c r="B69" t="s">
        <v>170</v>
      </c>
      <c r="C69" t="s">
        <v>310</v>
      </c>
      <c r="D69" t="s">
        <v>291</v>
      </c>
    </row>
    <row r="70" spans="2:4" x14ac:dyDescent="0.4">
      <c r="B70" t="s">
        <v>170</v>
      </c>
      <c r="C70" t="s">
        <v>147</v>
      </c>
      <c r="D70" t="s">
        <v>278</v>
      </c>
    </row>
    <row r="71" spans="2:4" x14ac:dyDescent="0.4">
      <c r="B71" t="s">
        <v>170</v>
      </c>
      <c r="C71" t="s">
        <v>143</v>
      </c>
      <c r="D71" t="s">
        <v>278</v>
      </c>
    </row>
    <row r="72" spans="2:4" x14ac:dyDescent="0.4">
      <c r="B72" t="s">
        <v>170</v>
      </c>
      <c r="C72" t="s">
        <v>179</v>
      </c>
      <c r="D72" t="s">
        <v>278</v>
      </c>
    </row>
    <row r="73" spans="2:4" x14ac:dyDescent="0.4">
      <c r="B73" t="s">
        <v>170</v>
      </c>
      <c r="C73" t="s">
        <v>178</v>
      </c>
      <c r="D73" t="s">
        <v>278</v>
      </c>
    </row>
    <row r="74" spans="2:4" x14ac:dyDescent="0.4">
      <c r="B74" t="s">
        <v>249</v>
      </c>
      <c r="C74" t="s">
        <v>250</v>
      </c>
      <c r="D74" t="s">
        <v>278</v>
      </c>
    </row>
    <row r="75" spans="2:4" x14ac:dyDescent="0.4">
      <c r="B75" t="s">
        <v>252</v>
      </c>
      <c r="C75" t="s">
        <v>253</v>
      </c>
      <c r="D75" t="s">
        <v>278</v>
      </c>
    </row>
    <row r="76" spans="2:4" x14ac:dyDescent="0.4">
      <c r="B76" t="s">
        <v>258</v>
      </c>
      <c r="C76" t="s">
        <v>259</v>
      </c>
      <c r="D76" t="s">
        <v>278</v>
      </c>
    </row>
    <row r="77" spans="2:4" x14ac:dyDescent="0.4">
      <c r="B77" t="s">
        <v>261</v>
      </c>
      <c r="C77" t="s">
        <v>259</v>
      </c>
      <c r="D77" t="s">
        <v>278</v>
      </c>
    </row>
    <row r="78" spans="2:4" x14ac:dyDescent="0.4">
      <c r="B78" t="s">
        <v>313</v>
      </c>
      <c r="C78" t="s">
        <v>314</v>
      </c>
      <c r="D78" t="s">
        <v>278</v>
      </c>
    </row>
    <row r="79" spans="2:4" x14ac:dyDescent="0.4">
      <c r="B79" t="s">
        <v>313</v>
      </c>
      <c r="C79" t="s">
        <v>315</v>
      </c>
      <c r="D79" t="s">
        <v>278</v>
      </c>
    </row>
    <row r="80" spans="2:4" x14ac:dyDescent="0.4">
      <c r="B80" t="s">
        <v>316</v>
      </c>
      <c r="C80" t="s">
        <v>317</v>
      </c>
      <c r="D80" t="s">
        <v>278</v>
      </c>
    </row>
    <row r="81" spans="2:4" x14ac:dyDescent="0.4">
      <c r="B81" t="s">
        <v>316</v>
      </c>
      <c r="C81" t="s">
        <v>318</v>
      </c>
      <c r="D81" t="s">
        <v>278</v>
      </c>
    </row>
    <row r="82" spans="2:4" x14ac:dyDescent="0.4">
      <c r="B82" t="s">
        <v>319</v>
      </c>
      <c r="C82" t="s">
        <v>320</v>
      </c>
      <c r="D82" t="s">
        <v>278</v>
      </c>
    </row>
    <row r="83" spans="2:4" x14ac:dyDescent="0.4">
      <c r="B83" t="s">
        <v>319</v>
      </c>
      <c r="C83" t="s">
        <v>321</v>
      </c>
      <c r="D83" t="s">
        <v>278</v>
      </c>
    </row>
    <row r="84" spans="2:4" x14ac:dyDescent="0.4">
      <c r="B84" t="s">
        <v>319</v>
      </c>
      <c r="C84" t="s">
        <v>322</v>
      </c>
      <c r="D84" t="s">
        <v>278</v>
      </c>
    </row>
    <row r="85" spans="2:4" x14ac:dyDescent="0.4">
      <c r="B85" t="s">
        <v>319</v>
      </c>
      <c r="C85" t="s">
        <v>323</v>
      </c>
      <c r="D85" t="s">
        <v>278</v>
      </c>
    </row>
    <row r="86" spans="2:4" x14ac:dyDescent="0.4">
      <c r="B86" t="s">
        <v>319</v>
      </c>
      <c r="C86" t="s">
        <v>324</v>
      </c>
      <c r="D86" t="s">
        <v>278</v>
      </c>
    </row>
    <row r="87" spans="2:4" x14ac:dyDescent="0.4">
      <c r="B87" t="s">
        <v>325</v>
      </c>
      <c r="C87" t="s">
        <v>326</v>
      </c>
      <c r="D87" t="s">
        <v>278</v>
      </c>
    </row>
    <row r="88" spans="2:4" x14ac:dyDescent="0.4">
      <c r="B88" t="s">
        <v>325</v>
      </c>
      <c r="C88" t="s">
        <v>327</v>
      </c>
      <c r="D88" t="s">
        <v>291</v>
      </c>
    </row>
    <row r="89" spans="2:4" x14ac:dyDescent="0.4">
      <c r="B89" t="s">
        <v>325</v>
      </c>
      <c r="C89" t="s">
        <v>328</v>
      </c>
      <c r="D89" t="s">
        <v>278</v>
      </c>
    </row>
    <row r="90" spans="2:4" x14ac:dyDescent="0.4">
      <c r="B90" t="s">
        <v>329</v>
      </c>
      <c r="C90" t="s">
        <v>330</v>
      </c>
      <c r="D90" t="s">
        <v>278</v>
      </c>
    </row>
    <row r="91" spans="2:4" x14ac:dyDescent="0.4">
      <c r="B91" t="s">
        <v>329</v>
      </c>
      <c r="C91" t="s">
        <v>331</v>
      </c>
      <c r="D91" t="s">
        <v>278</v>
      </c>
    </row>
    <row r="92" spans="2:4" x14ac:dyDescent="0.4">
      <c r="B92" t="s">
        <v>332</v>
      </c>
      <c r="C92" t="s">
        <v>333</v>
      </c>
      <c r="D92" t="s">
        <v>278</v>
      </c>
    </row>
    <row r="93" spans="2:4" x14ac:dyDescent="0.4">
      <c r="B93" t="s">
        <v>262</v>
      </c>
      <c r="C93" t="s">
        <v>263</v>
      </c>
      <c r="D93" t="s">
        <v>278</v>
      </c>
    </row>
    <row r="94" spans="2:4" x14ac:dyDescent="0.4">
      <c r="B94" t="s">
        <v>265</v>
      </c>
      <c r="C94" t="s">
        <v>266</v>
      </c>
      <c r="D94" t="s">
        <v>278</v>
      </c>
    </row>
    <row r="95" spans="2:4" x14ac:dyDescent="0.4">
      <c r="B95" t="s">
        <v>334</v>
      </c>
      <c r="C95" t="s">
        <v>335</v>
      </c>
      <c r="D95" t="s">
        <v>278</v>
      </c>
    </row>
    <row r="96" spans="2:4" x14ac:dyDescent="0.4">
      <c r="B96" t="s">
        <v>336</v>
      </c>
      <c r="C96" t="s">
        <v>335</v>
      </c>
      <c r="D96" t="s">
        <v>278</v>
      </c>
    </row>
    <row r="97" spans="2:4" x14ac:dyDescent="0.4">
      <c r="B97" t="s">
        <v>337</v>
      </c>
      <c r="C97" t="s">
        <v>338</v>
      </c>
      <c r="D97" t="s">
        <v>278</v>
      </c>
    </row>
    <row r="98" spans="2:4" x14ac:dyDescent="0.4">
      <c r="B98" t="s">
        <v>339</v>
      </c>
      <c r="C98" t="s">
        <v>340</v>
      </c>
      <c r="D98" t="s">
        <v>278</v>
      </c>
    </row>
    <row r="99" spans="2:4" x14ac:dyDescent="0.4">
      <c r="B99" t="s">
        <v>339</v>
      </c>
      <c r="C99" t="s">
        <v>341</v>
      </c>
      <c r="D99" t="s">
        <v>278</v>
      </c>
    </row>
    <row r="100" spans="2:4" x14ac:dyDescent="0.4">
      <c r="B100" t="s">
        <v>342</v>
      </c>
      <c r="C100" t="s">
        <v>343</v>
      </c>
      <c r="D100" t="s">
        <v>278</v>
      </c>
    </row>
    <row r="101" spans="2:4" x14ac:dyDescent="0.4">
      <c r="B101" t="s">
        <v>342</v>
      </c>
      <c r="C101" t="s">
        <v>340</v>
      </c>
      <c r="D101" t="s">
        <v>278</v>
      </c>
    </row>
    <row r="102" spans="2:4" x14ac:dyDescent="0.4">
      <c r="B102" t="s">
        <v>191</v>
      </c>
      <c r="C102" t="s">
        <v>192</v>
      </c>
      <c r="D102" t="s">
        <v>291</v>
      </c>
    </row>
    <row r="103" spans="2:4" x14ac:dyDescent="0.4">
      <c r="B103" t="s">
        <v>196</v>
      </c>
      <c r="C103" t="s">
        <v>197</v>
      </c>
      <c r="D103" t="s">
        <v>291</v>
      </c>
    </row>
    <row r="104" spans="2:4" x14ac:dyDescent="0.4">
      <c r="B104" t="s">
        <v>344</v>
      </c>
      <c r="C104" t="s">
        <v>345</v>
      </c>
      <c r="D104" t="s">
        <v>278</v>
      </c>
    </row>
    <row r="105" spans="2:4" x14ac:dyDescent="0.4">
      <c r="B105" t="s">
        <v>344</v>
      </c>
      <c r="C105" t="s">
        <v>346</v>
      </c>
      <c r="D105" t="s">
        <v>278</v>
      </c>
    </row>
    <row r="106" spans="2:4" x14ac:dyDescent="0.4">
      <c r="B106" t="s">
        <v>347</v>
      </c>
      <c r="C106" t="s">
        <v>345</v>
      </c>
      <c r="D106" t="s">
        <v>278</v>
      </c>
    </row>
    <row r="107" spans="2:4" x14ac:dyDescent="0.4">
      <c r="B107" t="s">
        <v>347</v>
      </c>
      <c r="C107" t="s">
        <v>346</v>
      </c>
      <c r="D107" t="s">
        <v>278</v>
      </c>
    </row>
    <row r="108" spans="2:4" x14ac:dyDescent="0.4">
      <c r="B108" t="s">
        <v>198</v>
      </c>
      <c r="C108" t="s">
        <v>199</v>
      </c>
      <c r="D108" t="s">
        <v>291</v>
      </c>
    </row>
    <row r="109" spans="2:4" x14ac:dyDescent="0.4">
      <c r="B109" t="s">
        <v>198</v>
      </c>
      <c r="C109" t="s">
        <v>348</v>
      </c>
      <c r="D109" t="s">
        <v>291</v>
      </c>
    </row>
    <row r="110" spans="2:4" x14ac:dyDescent="0.4">
      <c r="B110" t="s">
        <v>198</v>
      </c>
      <c r="C110" t="s">
        <v>349</v>
      </c>
      <c r="D110" t="s">
        <v>291</v>
      </c>
    </row>
    <row r="111" spans="2:4" x14ac:dyDescent="0.4">
      <c r="B111" t="s">
        <v>205</v>
      </c>
      <c r="C111" t="s">
        <v>199</v>
      </c>
      <c r="D111" t="s">
        <v>291</v>
      </c>
    </row>
    <row r="112" spans="2:4" x14ac:dyDescent="0.4">
      <c r="B112" t="s">
        <v>205</v>
      </c>
      <c r="C112" t="s">
        <v>348</v>
      </c>
      <c r="D112" t="s">
        <v>291</v>
      </c>
    </row>
    <row r="113" spans="2:4" x14ac:dyDescent="0.4">
      <c r="B113" t="s">
        <v>205</v>
      </c>
      <c r="C113" t="s">
        <v>349</v>
      </c>
      <c r="D113" t="s">
        <v>291</v>
      </c>
    </row>
    <row r="114" spans="2:4" x14ac:dyDescent="0.4">
      <c r="B114" t="s">
        <v>104</v>
      </c>
      <c r="C114" t="s">
        <v>105</v>
      </c>
      <c r="D114" t="s">
        <v>278</v>
      </c>
    </row>
    <row r="115" spans="2:4" x14ac:dyDescent="0.4">
      <c r="B115" t="s">
        <v>113</v>
      </c>
      <c r="C115" t="s">
        <v>114</v>
      </c>
      <c r="D115" t="s">
        <v>278</v>
      </c>
    </row>
    <row r="116" spans="2:4" x14ac:dyDescent="0.4">
      <c r="B116" t="s">
        <v>350</v>
      </c>
      <c r="C116" t="s">
        <v>351</v>
      </c>
      <c r="D116" t="s">
        <v>278</v>
      </c>
    </row>
    <row r="117" spans="2:4" x14ac:dyDescent="0.4">
      <c r="B117" t="s">
        <v>350</v>
      </c>
      <c r="C117" t="s">
        <v>352</v>
      </c>
      <c r="D117" t="s">
        <v>291</v>
      </c>
    </row>
  </sheetData>
  <autoFilter ref="B13:D117" xr:uid="{5C2756E3-9127-40D5-8F5D-0B1E430FFAE1}"/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FFAD-28AC-418B-84F9-73847269EA70}">
  <sheetPr codeName="Sheet2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37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FB9B-0FB3-477C-8FE1-26A328674FF6}">
  <sheetPr codeName="Sheet2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64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745A-FF22-4B77-8B06-A2B8BCA882D8}">
  <sheetPr codeName="Sheet27"/>
  <dimension ref="B2:Y131"/>
  <sheetViews>
    <sheetView showGridLines="0" zoomScale="85" zoomScaleNormal="85" workbookViewId="0">
      <pane ySplit="13" topLeftCell="A14" activePane="bottomLeft" state="frozen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82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 x14ac:dyDescent="0.4">
      <c r="B11" s="28">
        <f>COUNTA(B14:B1048576)</f>
        <v>71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 x14ac:dyDescent="0.4">
      <c r="B14" t="s">
        <v>276</v>
      </c>
      <c r="C14" t="s">
        <v>277</v>
      </c>
      <c r="D14" t="s">
        <v>200</v>
      </c>
      <c r="E14" t="s">
        <v>353</v>
      </c>
      <c r="F14" t="s">
        <v>354</v>
      </c>
      <c r="G14" t="s">
        <v>355</v>
      </c>
      <c r="H14" t="s">
        <v>111</v>
      </c>
      <c r="I14" t="s">
        <v>98</v>
      </c>
      <c r="J14" t="s">
        <v>186</v>
      </c>
    </row>
    <row r="15" spans="2:25" x14ac:dyDescent="0.4">
      <c r="B15" t="s">
        <v>281</v>
      </c>
      <c r="C15" t="s">
        <v>282</v>
      </c>
      <c r="D15" t="s">
        <v>200</v>
      </c>
      <c r="E15" t="s">
        <v>356</v>
      </c>
      <c r="F15" t="s">
        <v>357</v>
      </c>
      <c r="G15" t="s">
        <v>358</v>
      </c>
      <c r="H15" t="s">
        <v>111</v>
      </c>
      <c r="I15" t="s">
        <v>112</v>
      </c>
      <c r="J15" t="s">
        <v>99</v>
      </c>
    </row>
    <row r="16" spans="2:25" x14ac:dyDescent="0.4">
      <c r="B16" t="s">
        <v>281</v>
      </c>
      <c r="C16" t="s">
        <v>282</v>
      </c>
      <c r="D16" t="s">
        <v>200</v>
      </c>
      <c r="E16" t="s">
        <v>359</v>
      </c>
      <c r="F16" t="s">
        <v>360</v>
      </c>
      <c r="G16" t="s">
        <v>361</v>
      </c>
      <c r="H16" t="s">
        <v>111</v>
      </c>
      <c r="I16" t="s">
        <v>112</v>
      </c>
      <c r="J16" t="s">
        <v>99</v>
      </c>
    </row>
    <row r="17" spans="2:10" x14ac:dyDescent="0.4">
      <c r="B17" t="s">
        <v>283</v>
      </c>
      <c r="C17" t="s">
        <v>284</v>
      </c>
      <c r="D17" t="s">
        <v>200</v>
      </c>
      <c r="E17" t="s">
        <v>362</v>
      </c>
      <c r="F17" t="s">
        <v>357</v>
      </c>
      <c r="G17" t="s">
        <v>363</v>
      </c>
      <c r="H17" t="s">
        <v>111</v>
      </c>
      <c r="I17" t="s">
        <v>112</v>
      </c>
      <c r="J17" t="s">
        <v>99</v>
      </c>
    </row>
    <row r="18" spans="2:10" x14ac:dyDescent="0.4">
      <c r="B18" t="s">
        <v>283</v>
      </c>
      <c r="C18" t="s">
        <v>284</v>
      </c>
      <c r="D18" t="s">
        <v>200</v>
      </c>
      <c r="E18" t="s">
        <v>364</v>
      </c>
      <c r="F18" t="s">
        <v>360</v>
      </c>
      <c r="G18" t="s">
        <v>365</v>
      </c>
      <c r="H18" t="s">
        <v>111</v>
      </c>
      <c r="I18" t="s">
        <v>112</v>
      </c>
      <c r="J18" t="s">
        <v>99</v>
      </c>
    </row>
    <row r="19" spans="2:10" x14ac:dyDescent="0.4">
      <c r="B19" t="s">
        <v>206</v>
      </c>
      <c r="C19" t="s">
        <v>207</v>
      </c>
      <c r="D19" t="s">
        <v>200</v>
      </c>
      <c r="E19" t="s">
        <v>366</v>
      </c>
      <c r="F19" t="s">
        <v>367</v>
      </c>
      <c r="G19" t="s">
        <v>368</v>
      </c>
      <c r="H19" t="s">
        <v>107</v>
      </c>
      <c r="I19" t="s">
        <v>98</v>
      </c>
      <c r="J19" t="s">
        <v>99</v>
      </c>
    </row>
    <row r="20" spans="2:10" x14ac:dyDescent="0.4">
      <c r="B20" t="s">
        <v>206</v>
      </c>
      <c r="C20" t="s">
        <v>207</v>
      </c>
      <c r="D20" t="s">
        <v>200</v>
      </c>
      <c r="E20" t="s">
        <v>369</v>
      </c>
      <c r="F20" t="s">
        <v>370</v>
      </c>
      <c r="G20" t="s">
        <v>371</v>
      </c>
      <c r="H20" t="s">
        <v>97</v>
      </c>
      <c r="I20" t="s">
        <v>98</v>
      </c>
      <c r="J20" t="s">
        <v>99</v>
      </c>
    </row>
    <row r="21" spans="2:10" x14ac:dyDescent="0.4">
      <c r="B21" t="s">
        <v>206</v>
      </c>
      <c r="C21" t="s">
        <v>207</v>
      </c>
      <c r="D21" t="s">
        <v>200</v>
      </c>
      <c r="E21" t="s">
        <v>372</v>
      </c>
      <c r="F21" t="s">
        <v>373</v>
      </c>
      <c r="G21" t="s">
        <v>374</v>
      </c>
      <c r="H21" t="s">
        <v>97</v>
      </c>
      <c r="I21" t="s">
        <v>98</v>
      </c>
      <c r="J21" t="s">
        <v>99</v>
      </c>
    </row>
    <row r="22" spans="2:10" x14ac:dyDescent="0.4">
      <c r="B22" t="s">
        <v>206</v>
      </c>
      <c r="C22" t="s">
        <v>207</v>
      </c>
      <c r="D22" t="s">
        <v>200</v>
      </c>
      <c r="E22" t="s">
        <v>375</v>
      </c>
      <c r="F22" t="s">
        <v>376</v>
      </c>
      <c r="G22" t="s">
        <v>377</v>
      </c>
      <c r="H22" t="s">
        <v>107</v>
      </c>
      <c r="I22" t="s">
        <v>98</v>
      </c>
      <c r="J22" t="s">
        <v>99</v>
      </c>
    </row>
    <row r="23" spans="2:10" x14ac:dyDescent="0.4">
      <c r="B23" t="s">
        <v>206</v>
      </c>
      <c r="C23" t="s">
        <v>207</v>
      </c>
      <c r="D23" t="s">
        <v>200</v>
      </c>
      <c r="E23" t="s">
        <v>378</v>
      </c>
      <c r="F23" t="s">
        <v>379</v>
      </c>
      <c r="G23" t="s">
        <v>380</v>
      </c>
      <c r="H23" t="s">
        <v>97</v>
      </c>
      <c r="I23" t="s">
        <v>98</v>
      </c>
      <c r="J23" t="s">
        <v>99</v>
      </c>
    </row>
    <row r="24" spans="2:10" x14ac:dyDescent="0.4">
      <c r="B24" t="s">
        <v>206</v>
      </c>
      <c r="C24" t="s">
        <v>207</v>
      </c>
      <c r="D24" t="s">
        <v>200</v>
      </c>
      <c r="E24" t="s">
        <v>381</v>
      </c>
      <c r="F24" t="s">
        <v>382</v>
      </c>
      <c r="G24" t="s">
        <v>383</v>
      </c>
      <c r="H24" t="s">
        <v>111</v>
      </c>
      <c r="I24" t="s">
        <v>98</v>
      </c>
      <c r="J24" t="s">
        <v>99</v>
      </c>
    </row>
    <row r="25" spans="2:10" x14ac:dyDescent="0.4">
      <c r="B25" t="s">
        <v>214</v>
      </c>
      <c r="C25" t="s">
        <v>215</v>
      </c>
      <c r="D25" t="s">
        <v>200</v>
      </c>
      <c r="E25" t="s">
        <v>384</v>
      </c>
      <c r="F25" t="s">
        <v>385</v>
      </c>
      <c r="G25" t="s">
        <v>386</v>
      </c>
      <c r="H25" t="s">
        <v>107</v>
      </c>
      <c r="I25" t="s">
        <v>98</v>
      </c>
      <c r="J25" t="s">
        <v>99</v>
      </c>
    </row>
    <row r="26" spans="2:10" x14ac:dyDescent="0.4">
      <c r="B26" t="s">
        <v>91</v>
      </c>
      <c r="C26" t="s">
        <v>92</v>
      </c>
      <c r="D26" t="s">
        <v>200</v>
      </c>
      <c r="E26" t="s">
        <v>387</v>
      </c>
      <c r="F26" t="s">
        <v>388</v>
      </c>
      <c r="G26" t="s">
        <v>389</v>
      </c>
      <c r="H26" t="s">
        <v>107</v>
      </c>
      <c r="I26" t="s">
        <v>98</v>
      </c>
      <c r="J26" t="s">
        <v>99</v>
      </c>
    </row>
    <row r="27" spans="2:10" x14ac:dyDescent="0.4">
      <c r="B27" t="s">
        <v>91</v>
      </c>
      <c r="C27" t="s">
        <v>92</v>
      </c>
      <c r="D27" t="s">
        <v>200</v>
      </c>
      <c r="E27" t="s">
        <v>387</v>
      </c>
      <c r="F27" t="s">
        <v>388</v>
      </c>
      <c r="G27" t="s">
        <v>389</v>
      </c>
      <c r="H27" t="s">
        <v>107</v>
      </c>
      <c r="I27" t="s">
        <v>98</v>
      </c>
      <c r="J27" t="s">
        <v>99</v>
      </c>
    </row>
    <row r="28" spans="2:10" x14ac:dyDescent="0.4">
      <c r="B28" t="s">
        <v>91</v>
      </c>
      <c r="C28" t="s">
        <v>92</v>
      </c>
      <c r="D28" t="s">
        <v>200</v>
      </c>
      <c r="E28" t="s">
        <v>387</v>
      </c>
      <c r="F28" t="s">
        <v>388</v>
      </c>
      <c r="G28" t="s">
        <v>389</v>
      </c>
      <c r="H28" t="s">
        <v>107</v>
      </c>
      <c r="I28" t="s">
        <v>98</v>
      </c>
      <c r="J28" t="s">
        <v>99</v>
      </c>
    </row>
    <row r="29" spans="2:10" x14ac:dyDescent="0.4">
      <c r="B29" t="s">
        <v>91</v>
      </c>
      <c r="C29" t="s">
        <v>92</v>
      </c>
      <c r="D29" t="s">
        <v>200</v>
      </c>
      <c r="E29" t="s">
        <v>387</v>
      </c>
      <c r="F29" t="s">
        <v>388</v>
      </c>
      <c r="G29" t="s">
        <v>389</v>
      </c>
      <c r="H29" t="s">
        <v>107</v>
      </c>
      <c r="I29" t="s">
        <v>98</v>
      </c>
      <c r="J29" t="s">
        <v>99</v>
      </c>
    </row>
    <row r="30" spans="2:10" x14ac:dyDescent="0.4">
      <c r="B30" t="s">
        <v>293</v>
      </c>
      <c r="C30" t="s">
        <v>295</v>
      </c>
      <c r="D30" t="s">
        <v>200</v>
      </c>
      <c r="E30" t="s">
        <v>390</v>
      </c>
      <c r="F30" t="s">
        <v>391</v>
      </c>
      <c r="G30" t="s">
        <v>392</v>
      </c>
      <c r="H30" t="s">
        <v>111</v>
      </c>
      <c r="I30" t="s">
        <v>98</v>
      </c>
      <c r="J30" t="s">
        <v>99</v>
      </c>
    </row>
    <row r="31" spans="2:10" x14ac:dyDescent="0.4">
      <c r="B31" t="s">
        <v>293</v>
      </c>
      <c r="C31" t="s">
        <v>295</v>
      </c>
      <c r="D31" t="s">
        <v>200</v>
      </c>
      <c r="E31" t="s">
        <v>393</v>
      </c>
      <c r="F31" t="s">
        <v>394</v>
      </c>
      <c r="G31" t="s">
        <v>395</v>
      </c>
      <c r="H31" t="s">
        <v>111</v>
      </c>
      <c r="I31" t="s">
        <v>98</v>
      </c>
      <c r="J31" t="s">
        <v>99</v>
      </c>
    </row>
    <row r="32" spans="2:10" x14ac:dyDescent="0.4">
      <c r="B32" t="s">
        <v>293</v>
      </c>
      <c r="C32" t="s">
        <v>295</v>
      </c>
      <c r="D32" t="s">
        <v>200</v>
      </c>
      <c r="E32" t="s">
        <v>396</v>
      </c>
      <c r="F32" t="s">
        <v>397</v>
      </c>
      <c r="G32" t="s">
        <v>398</v>
      </c>
      <c r="H32" t="s">
        <v>111</v>
      </c>
      <c r="I32" t="s">
        <v>98</v>
      </c>
      <c r="J32" t="s">
        <v>99</v>
      </c>
    </row>
    <row r="33" spans="2:10" x14ac:dyDescent="0.4">
      <c r="B33" t="s">
        <v>293</v>
      </c>
      <c r="C33" t="s">
        <v>295</v>
      </c>
      <c r="D33" t="s">
        <v>200</v>
      </c>
      <c r="E33" t="s">
        <v>399</v>
      </c>
      <c r="F33" t="s">
        <v>400</v>
      </c>
      <c r="G33" t="s">
        <v>401</v>
      </c>
      <c r="H33" t="s">
        <v>111</v>
      </c>
      <c r="I33" t="s">
        <v>98</v>
      </c>
      <c r="J33" t="s">
        <v>99</v>
      </c>
    </row>
    <row r="34" spans="2:10" x14ac:dyDescent="0.4">
      <c r="B34" t="s">
        <v>293</v>
      </c>
      <c r="C34" t="s">
        <v>295</v>
      </c>
      <c r="D34" t="s">
        <v>200</v>
      </c>
      <c r="E34" t="s">
        <v>402</v>
      </c>
      <c r="F34" t="s">
        <v>403</v>
      </c>
      <c r="G34" t="s">
        <v>404</v>
      </c>
      <c r="H34" t="s">
        <v>111</v>
      </c>
      <c r="I34" t="s">
        <v>98</v>
      </c>
      <c r="J34" t="s">
        <v>99</v>
      </c>
    </row>
    <row r="35" spans="2:10" x14ac:dyDescent="0.4">
      <c r="B35" t="s">
        <v>293</v>
      </c>
      <c r="C35" t="s">
        <v>295</v>
      </c>
      <c r="D35" t="s">
        <v>200</v>
      </c>
      <c r="E35" t="s">
        <v>405</v>
      </c>
      <c r="F35" t="s">
        <v>406</v>
      </c>
      <c r="G35" t="s">
        <v>407</v>
      </c>
      <c r="H35" t="s">
        <v>97</v>
      </c>
      <c r="I35" t="s">
        <v>98</v>
      </c>
      <c r="J35" t="s">
        <v>99</v>
      </c>
    </row>
    <row r="36" spans="2:10" x14ac:dyDescent="0.4">
      <c r="B36" t="s">
        <v>293</v>
      </c>
      <c r="C36" t="s">
        <v>295</v>
      </c>
      <c r="D36" t="s">
        <v>200</v>
      </c>
      <c r="E36" t="s">
        <v>408</v>
      </c>
      <c r="F36" t="s">
        <v>409</v>
      </c>
      <c r="G36" t="s">
        <v>410</v>
      </c>
      <c r="H36" t="s">
        <v>97</v>
      </c>
      <c r="I36" t="s">
        <v>98</v>
      </c>
      <c r="J36" t="s">
        <v>99</v>
      </c>
    </row>
    <row r="37" spans="2:10" x14ac:dyDescent="0.4">
      <c r="B37" t="s">
        <v>293</v>
      </c>
      <c r="C37" t="s">
        <v>295</v>
      </c>
      <c r="D37" t="s">
        <v>200</v>
      </c>
      <c r="E37" t="s">
        <v>411</v>
      </c>
      <c r="F37" t="s">
        <v>412</v>
      </c>
      <c r="G37" t="s">
        <v>413</v>
      </c>
      <c r="H37" t="s">
        <v>97</v>
      </c>
      <c r="I37" t="s">
        <v>98</v>
      </c>
      <c r="J37" t="s">
        <v>99</v>
      </c>
    </row>
    <row r="38" spans="2:10" x14ac:dyDescent="0.4">
      <c r="B38" t="s">
        <v>293</v>
      </c>
      <c r="C38" t="s">
        <v>295</v>
      </c>
      <c r="D38" t="s">
        <v>200</v>
      </c>
      <c r="E38" t="s">
        <v>414</v>
      </c>
      <c r="F38" t="s">
        <v>415</v>
      </c>
      <c r="G38" t="s">
        <v>416</v>
      </c>
      <c r="H38" t="s">
        <v>97</v>
      </c>
      <c r="I38" t="s">
        <v>98</v>
      </c>
      <c r="J38" t="s">
        <v>99</v>
      </c>
    </row>
    <row r="39" spans="2:10" x14ac:dyDescent="0.4">
      <c r="B39" t="s">
        <v>293</v>
      </c>
      <c r="C39" t="s">
        <v>295</v>
      </c>
      <c r="D39" t="s">
        <v>200</v>
      </c>
      <c r="E39" t="s">
        <v>417</v>
      </c>
      <c r="F39" t="s">
        <v>418</v>
      </c>
      <c r="G39" t="s">
        <v>419</v>
      </c>
      <c r="H39" t="s">
        <v>97</v>
      </c>
      <c r="I39" t="s">
        <v>98</v>
      </c>
      <c r="J39" t="s">
        <v>99</v>
      </c>
    </row>
    <row r="40" spans="2:10" x14ac:dyDescent="0.4">
      <c r="B40" t="s">
        <v>293</v>
      </c>
      <c r="C40" t="s">
        <v>295</v>
      </c>
      <c r="D40" t="s">
        <v>200</v>
      </c>
      <c r="E40" t="s">
        <v>420</v>
      </c>
      <c r="F40" t="s">
        <v>421</v>
      </c>
      <c r="G40" t="s">
        <v>422</v>
      </c>
      <c r="H40" t="s">
        <v>97</v>
      </c>
      <c r="I40" t="s">
        <v>98</v>
      </c>
      <c r="J40" t="s">
        <v>99</v>
      </c>
    </row>
    <row r="41" spans="2:10" x14ac:dyDescent="0.4">
      <c r="B41" t="s">
        <v>222</v>
      </c>
      <c r="C41" t="s">
        <v>298</v>
      </c>
      <c r="D41" t="s">
        <v>200</v>
      </c>
      <c r="E41" t="s">
        <v>423</v>
      </c>
      <c r="F41" t="s">
        <v>415</v>
      </c>
      <c r="G41" t="s">
        <v>416</v>
      </c>
      <c r="H41" t="s">
        <v>111</v>
      </c>
      <c r="I41" t="s">
        <v>98</v>
      </c>
      <c r="J41" t="s">
        <v>186</v>
      </c>
    </row>
    <row r="42" spans="2:10" x14ac:dyDescent="0.4">
      <c r="B42" t="s">
        <v>222</v>
      </c>
      <c r="C42" t="s">
        <v>223</v>
      </c>
      <c r="D42" t="s">
        <v>200</v>
      </c>
      <c r="E42" t="s">
        <v>424</v>
      </c>
      <c r="F42" t="s">
        <v>425</v>
      </c>
      <c r="G42" t="s">
        <v>426</v>
      </c>
      <c r="H42" t="s">
        <v>107</v>
      </c>
      <c r="I42" t="s">
        <v>98</v>
      </c>
      <c r="J42" t="s">
        <v>99</v>
      </c>
    </row>
    <row r="43" spans="2:10" x14ac:dyDescent="0.4">
      <c r="B43" t="s">
        <v>222</v>
      </c>
      <c r="C43" t="s">
        <v>223</v>
      </c>
      <c r="D43" t="s">
        <v>200</v>
      </c>
      <c r="E43" t="s">
        <v>427</v>
      </c>
      <c r="F43" t="s">
        <v>428</v>
      </c>
      <c r="G43" t="s">
        <v>429</v>
      </c>
      <c r="H43" t="s">
        <v>111</v>
      </c>
      <c r="I43" t="s">
        <v>98</v>
      </c>
      <c r="J43" t="s">
        <v>99</v>
      </c>
    </row>
    <row r="44" spans="2:10" x14ac:dyDescent="0.4">
      <c r="B44" t="s">
        <v>299</v>
      </c>
      <c r="C44" t="s">
        <v>297</v>
      </c>
      <c r="D44" t="s">
        <v>200</v>
      </c>
      <c r="E44" t="s">
        <v>430</v>
      </c>
      <c r="F44" t="s">
        <v>431</v>
      </c>
      <c r="G44" t="s">
        <v>432</v>
      </c>
      <c r="H44" t="s">
        <v>111</v>
      </c>
      <c r="I44" t="s">
        <v>98</v>
      </c>
      <c r="J44" t="s">
        <v>99</v>
      </c>
    </row>
    <row r="45" spans="2:10" x14ac:dyDescent="0.4">
      <c r="B45" t="s">
        <v>299</v>
      </c>
      <c r="C45" t="s">
        <v>297</v>
      </c>
      <c r="D45" t="s">
        <v>200</v>
      </c>
      <c r="E45" t="s">
        <v>433</v>
      </c>
      <c r="F45" t="s">
        <v>434</v>
      </c>
      <c r="G45" t="s">
        <v>435</v>
      </c>
      <c r="H45" t="s">
        <v>111</v>
      </c>
      <c r="I45" t="s">
        <v>98</v>
      </c>
      <c r="J45" t="s">
        <v>99</v>
      </c>
    </row>
    <row r="46" spans="2:10" x14ac:dyDescent="0.4">
      <c r="B46" t="s">
        <v>299</v>
      </c>
      <c r="C46" t="s">
        <v>298</v>
      </c>
      <c r="D46" t="s">
        <v>200</v>
      </c>
      <c r="E46" t="s">
        <v>436</v>
      </c>
      <c r="F46" t="s">
        <v>437</v>
      </c>
      <c r="G46" t="s">
        <v>438</v>
      </c>
      <c r="H46" t="s">
        <v>111</v>
      </c>
      <c r="I46" t="s">
        <v>98</v>
      </c>
      <c r="J46" t="s">
        <v>186</v>
      </c>
    </row>
    <row r="47" spans="2:10" x14ac:dyDescent="0.4">
      <c r="B47" t="s">
        <v>299</v>
      </c>
      <c r="C47" t="s">
        <v>298</v>
      </c>
      <c r="D47" t="s">
        <v>200</v>
      </c>
      <c r="E47" t="s">
        <v>439</v>
      </c>
      <c r="F47" t="s">
        <v>440</v>
      </c>
      <c r="G47" t="s">
        <v>441</v>
      </c>
      <c r="H47" t="s">
        <v>111</v>
      </c>
      <c r="I47" t="s">
        <v>98</v>
      </c>
      <c r="J47" t="s">
        <v>186</v>
      </c>
    </row>
    <row r="48" spans="2:10" x14ac:dyDescent="0.4">
      <c r="B48" t="s">
        <v>299</v>
      </c>
      <c r="C48" t="s">
        <v>301</v>
      </c>
      <c r="D48" t="s">
        <v>200</v>
      </c>
      <c r="E48" t="s">
        <v>442</v>
      </c>
      <c r="F48" t="s">
        <v>443</v>
      </c>
      <c r="G48" t="s">
        <v>444</v>
      </c>
      <c r="H48" t="s">
        <v>107</v>
      </c>
      <c r="I48" t="s">
        <v>98</v>
      </c>
      <c r="J48" t="s">
        <v>99</v>
      </c>
    </row>
    <row r="49" spans="2:10" x14ac:dyDescent="0.4">
      <c r="B49" t="s">
        <v>227</v>
      </c>
      <c r="C49" t="s">
        <v>228</v>
      </c>
      <c r="D49" t="s">
        <v>200</v>
      </c>
      <c r="E49" t="s">
        <v>445</v>
      </c>
      <c r="F49" t="s">
        <v>446</v>
      </c>
      <c r="G49" t="s">
        <v>447</v>
      </c>
      <c r="H49" t="s">
        <v>111</v>
      </c>
      <c r="I49" t="s">
        <v>98</v>
      </c>
      <c r="J49" t="s">
        <v>99</v>
      </c>
    </row>
    <row r="50" spans="2:10" x14ac:dyDescent="0.4">
      <c r="B50" t="s">
        <v>180</v>
      </c>
      <c r="C50" t="s">
        <v>181</v>
      </c>
      <c r="D50" t="s">
        <v>200</v>
      </c>
      <c r="E50" t="s">
        <v>353</v>
      </c>
      <c r="F50" t="s">
        <v>354</v>
      </c>
      <c r="G50" t="s">
        <v>448</v>
      </c>
      <c r="H50" t="s">
        <v>111</v>
      </c>
      <c r="I50" t="s">
        <v>98</v>
      </c>
      <c r="J50" t="s">
        <v>186</v>
      </c>
    </row>
    <row r="51" spans="2:10" x14ac:dyDescent="0.4">
      <c r="B51" t="s">
        <v>180</v>
      </c>
      <c r="C51" t="s">
        <v>187</v>
      </c>
      <c r="D51" t="s">
        <v>200</v>
      </c>
      <c r="E51" t="s">
        <v>449</v>
      </c>
      <c r="F51" t="s">
        <v>450</v>
      </c>
      <c r="G51" t="s">
        <v>451</v>
      </c>
      <c r="H51" t="s">
        <v>97</v>
      </c>
      <c r="I51" t="s">
        <v>98</v>
      </c>
      <c r="J51" t="s">
        <v>186</v>
      </c>
    </row>
    <row r="52" spans="2:10" x14ac:dyDescent="0.4">
      <c r="B52" t="s">
        <v>306</v>
      </c>
      <c r="C52" t="s">
        <v>307</v>
      </c>
      <c r="D52" t="s">
        <v>200</v>
      </c>
      <c r="E52" t="s">
        <v>452</v>
      </c>
      <c r="F52" t="s">
        <v>453</v>
      </c>
      <c r="G52" t="s">
        <v>454</v>
      </c>
      <c r="H52" t="s">
        <v>111</v>
      </c>
      <c r="I52" t="s">
        <v>98</v>
      </c>
      <c r="J52" t="s">
        <v>99</v>
      </c>
    </row>
    <row r="53" spans="2:10" x14ac:dyDescent="0.4">
      <c r="B53" t="s">
        <v>142</v>
      </c>
      <c r="C53" t="s">
        <v>143</v>
      </c>
      <c r="D53" t="s">
        <v>200</v>
      </c>
      <c r="E53" t="s">
        <v>455</v>
      </c>
      <c r="F53" t="s">
        <v>456</v>
      </c>
      <c r="G53" t="s">
        <v>457</v>
      </c>
      <c r="H53" t="s">
        <v>107</v>
      </c>
      <c r="I53" t="s">
        <v>203</v>
      </c>
      <c r="J53" t="s">
        <v>99</v>
      </c>
    </row>
    <row r="54" spans="2:10" x14ac:dyDescent="0.4">
      <c r="B54" t="s">
        <v>142</v>
      </c>
      <c r="C54" t="s">
        <v>147</v>
      </c>
      <c r="D54" t="s">
        <v>200</v>
      </c>
      <c r="E54" t="s">
        <v>458</v>
      </c>
      <c r="F54" t="s">
        <v>456</v>
      </c>
      <c r="G54" t="s">
        <v>457</v>
      </c>
      <c r="H54" t="s">
        <v>107</v>
      </c>
      <c r="I54" t="s">
        <v>203</v>
      </c>
      <c r="J54" t="s">
        <v>99</v>
      </c>
    </row>
    <row r="55" spans="2:10" x14ac:dyDescent="0.4">
      <c r="B55" t="s">
        <v>313</v>
      </c>
      <c r="C55" t="s">
        <v>314</v>
      </c>
      <c r="D55" t="s">
        <v>200</v>
      </c>
      <c r="E55" t="s">
        <v>459</v>
      </c>
      <c r="F55" t="s">
        <v>460</v>
      </c>
      <c r="G55" t="s">
        <v>461</v>
      </c>
      <c r="H55" t="s">
        <v>107</v>
      </c>
      <c r="I55" t="s">
        <v>203</v>
      </c>
      <c r="J55" t="s">
        <v>99</v>
      </c>
    </row>
    <row r="56" spans="2:10" x14ac:dyDescent="0.4">
      <c r="B56" t="s">
        <v>316</v>
      </c>
      <c r="C56" t="s">
        <v>317</v>
      </c>
      <c r="D56" t="s">
        <v>200</v>
      </c>
      <c r="E56" t="s">
        <v>462</v>
      </c>
      <c r="F56" t="s">
        <v>463</v>
      </c>
      <c r="G56" t="s">
        <v>464</v>
      </c>
      <c r="H56" t="s">
        <v>107</v>
      </c>
      <c r="I56" t="s">
        <v>98</v>
      </c>
      <c r="J56" t="s">
        <v>99</v>
      </c>
    </row>
    <row r="57" spans="2:10" x14ac:dyDescent="0.4">
      <c r="B57" t="s">
        <v>319</v>
      </c>
      <c r="C57" t="s">
        <v>324</v>
      </c>
      <c r="D57" t="s">
        <v>200</v>
      </c>
      <c r="E57" t="s">
        <v>465</v>
      </c>
      <c r="F57" t="s">
        <v>466</v>
      </c>
      <c r="G57" t="s">
        <v>467</v>
      </c>
      <c r="H57" t="s">
        <v>107</v>
      </c>
      <c r="I57" t="s">
        <v>203</v>
      </c>
      <c r="J57" t="s">
        <v>99</v>
      </c>
    </row>
    <row r="58" spans="2:10" x14ac:dyDescent="0.4">
      <c r="B58" t="s">
        <v>319</v>
      </c>
      <c r="C58" t="s">
        <v>322</v>
      </c>
      <c r="D58" t="s">
        <v>200</v>
      </c>
      <c r="E58" t="s">
        <v>468</v>
      </c>
      <c r="F58" t="s">
        <v>469</v>
      </c>
      <c r="G58" t="s">
        <v>470</v>
      </c>
      <c r="H58" t="s">
        <v>107</v>
      </c>
      <c r="I58" t="s">
        <v>203</v>
      </c>
      <c r="J58" t="s">
        <v>99</v>
      </c>
    </row>
    <row r="59" spans="2:10" x14ac:dyDescent="0.4">
      <c r="B59" t="s">
        <v>319</v>
      </c>
      <c r="C59" t="s">
        <v>322</v>
      </c>
      <c r="D59" t="s">
        <v>200</v>
      </c>
      <c r="E59" t="s">
        <v>471</v>
      </c>
      <c r="F59" t="s">
        <v>472</v>
      </c>
      <c r="G59" t="s">
        <v>473</v>
      </c>
      <c r="H59" t="s">
        <v>107</v>
      </c>
      <c r="I59" t="s">
        <v>98</v>
      </c>
      <c r="J59" t="s">
        <v>186</v>
      </c>
    </row>
    <row r="60" spans="2:10" x14ac:dyDescent="0.4">
      <c r="B60" t="s">
        <v>329</v>
      </c>
      <c r="C60" t="s">
        <v>330</v>
      </c>
      <c r="D60" t="s">
        <v>200</v>
      </c>
      <c r="E60" t="s">
        <v>474</v>
      </c>
      <c r="F60" t="s">
        <v>475</v>
      </c>
      <c r="G60" t="s">
        <v>476</v>
      </c>
      <c r="H60" t="s">
        <v>111</v>
      </c>
      <c r="I60" t="s">
        <v>203</v>
      </c>
      <c r="J60" t="s">
        <v>99</v>
      </c>
    </row>
    <row r="61" spans="2:10" x14ac:dyDescent="0.4">
      <c r="B61" t="s">
        <v>332</v>
      </c>
      <c r="C61" t="s">
        <v>333</v>
      </c>
      <c r="D61" t="s">
        <v>200</v>
      </c>
      <c r="E61" t="s">
        <v>477</v>
      </c>
      <c r="F61" t="s">
        <v>478</v>
      </c>
      <c r="G61" t="s">
        <v>479</v>
      </c>
      <c r="H61" t="s">
        <v>111</v>
      </c>
      <c r="I61" t="s">
        <v>98</v>
      </c>
      <c r="J61" t="s">
        <v>99</v>
      </c>
    </row>
    <row r="62" spans="2:10" x14ac:dyDescent="0.4">
      <c r="B62" t="s">
        <v>262</v>
      </c>
      <c r="C62" t="s">
        <v>263</v>
      </c>
      <c r="D62" t="s">
        <v>200</v>
      </c>
      <c r="E62" t="s">
        <v>480</v>
      </c>
      <c r="F62" t="s">
        <v>481</v>
      </c>
      <c r="G62" t="s">
        <v>482</v>
      </c>
      <c r="H62" t="s">
        <v>111</v>
      </c>
      <c r="I62" t="s">
        <v>98</v>
      </c>
      <c r="J62" t="s">
        <v>99</v>
      </c>
    </row>
    <row r="63" spans="2:10" x14ac:dyDescent="0.4">
      <c r="B63" t="s">
        <v>265</v>
      </c>
      <c r="C63" t="s">
        <v>266</v>
      </c>
      <c r="D63" t="s">
        <v>200</v>
      </c>
      <c r="E63" t="s">
        <v>483</v>
      </c>
      <c r="F63" t="s">
        <v>484</v>
      </c>
      <c r="G63" t="s">
        <v>485</v>
      </c>
      <c r="H63" t="s">
        <v>97</v>
      </c>
      <c r="I63" t="s">
        <v>98</v>
      </c>
      <c r="J63" t="s">
        <v>99</v>
      </c>
    </row>
    <row r="64" spans="2:10" x14ac:dyDescent="0.4">
      <c r="B64" t="s">
        <v>265</v>
      </c>
      <c r="C64" t="s">
        <v>266</v>
      </c>
      <c r="D64" t="s">
        <v>200</v>
      </c>
      <c r="E64" t="s">
        <v>486</v>
      </c>
      <c r="F64" t="s">
        <v>481</v>
      </c>
      <c r="G64" t="s">
        <v>487</v>
      </c>
      <c r="H64" t="s">
        <v>111</v>
      </c>
      <c r="I64" t="s">
        <v>98</v>
      </c>
      <c r="J64" t="s">
        <v>99</v>
      </c>
    </row>
    <row r="65" spans="2:10" x14ac:dyDescent="0.4">
      <c r="B65" t="s">
        <v>334</v>
      </c>
      <c r="C65" t="s">
        <v>335</v>
      </c>
      <c r="D65" t="s">
        <v>200</v>
      </c>
      <c r="E65" t="s">
        <v>488</v>
      </c>
      <c r="F65" t="s">
        <v>489</v>
      </c>
      <c r="G65" t="s">
        <v>490</v>
      </c>
      <c r="H65" t="s">
        <v>107</v>
      </c>
      <c r="I65" t="s">
        <v>98</v>
      </c>
      <c r="J65" t="s">
        <v>99</v>
      </c>
    </row>
    <row r="66" spans="2:10" x14ac:dyDescent="0.4">
      <c r="B66" t="s">
        <v>334</v>
      </c>
      <c r="C66" t="s">
        <v>335</v>
      </c>
      <c r="D66" t="s">
        <v>200</v>
      </c>
      <c r="E66" t="s">
        <v>491</v>
      </c>
      <c r="F66" t="s">
        <v>492</v>
      </c>
      <c r="G66" t="s">
        <v>493</v>
      </c>
      <c r="H66" t="s">
        <v>111</v>
      </c>
      <c r="I66" t="s">
        <v>98</v>
      </c>
      <c r="J66" t="s">
        <v>99</v>
      </c>
    </row>
    <row r="67" spans="2:10" x14ac:dyDescent="0.4">
      <c r="B67" t="s">
        <v>334</v>
      </c>
      <c r="C67" t="s">
        <v>335</v>
      </c>
      <c r="D67" t="s">
        <v>200</v>
      </c>
      <c r="E67" t="s">
        <v>494</v>
      </c>
      <c r="F67" t="s">
        <v>495</v>
      </c>
      <c r="G67" t="s">
        <v>496</v>
      </c>
      <c r="H67" t="s">
        <v>107</v>
      </c>
      <c r="I67" t="s">
        <v>98</v>
      </c>
      <c r="J67" t="s">
        <v>99</v>
      </c>
    </row>
    <row r="68" spans="2:10" x14ac:dyDescent="0.4">
      <c r="B68" t="s">
        <v>337</v>
      </c>
      <c r="C68" t="s">
        <v>338</v>
      </c>
      <c r="D68" t="s">
        <v>200</v>
      </c>
      <c r="E68" t="s">
        <v>497</v>
      </c>
      <c r="F68" t="s">
        <v>498</v>
      </c>
      <c r="G68" t="s">
        <v>499</v>
      </c>
      <c r="H68" t="s">
        <v>111</v>
      </c>
      <c r="I68" t="s">
        <v>98</v>
      </c>
      <c r="J68" t="s">
        <v>99</v>
      </c>
    </row>
    <row r="69" spans="2:10" x14ac:dyDescent="0.4">
      <c r="B69" t="s">
        <v>337</v>
      </c>
      <c r="C69" t="s">
        <v>338</v>
      </c>
      <c r="D69" t="s">
        <v>200</v>
      </c>
      <c r="E69" t="s">
        <v>500</v>
      </c>
      <c r="F69" t="s">
        <v>501</v>
      </c>
      <c r="G69" t="s">
        <v>502</v>
      </c>
      <c r="H69" t="s">
        <v>111</v>
      </c>
      <c r="I69" t="s">
        <v>98</v>
      </c>
      <c r="J69" t="s">
        <v>99</v>
      </c>
    </row>
    <row r="70" spans="2:10" x14ac:dyDescent="0.4">
      <c r="B70" t="s">
        <v>337</v>
      </c>
      <c r="C70" t="s">
        <v>338</v>
      </c>
      <c r="D70" t="s">
        <v>200</v>
      </c>
      <c r="E70" t="s">
        <v>503</v>
      </c>
      <c r="F70" t="s">
        <v>504</v>
      </c>
      <c r="G70" t="s">
        <v>505</v>
      </c>
      <c r="H70" t="s">
        <v>111</v>
      </c>
      <c r="I70" t="s">
        <v>98</v>
      </c>
      <c r="J70" t="s">
        <v>99</v>
      </c>
    </row>
    <row r="71" spans="2:10" x14ac:dyDescent="0.4">
      <c r="B71" t="s">
        <v>344</v>
      </c>
      <c r="C71" t="s">
        <v>345</v>
      </c>
      <c r="D71" t="s">
        <v>200</v>
      </c>
      <c r="E71" t="s">
        <v>506</v>
      </c>
      <c r="F71" t="s">
        <v>507</v>
      </c>
      <c r="G71" t="s">
        <v>508</v>
      </c>
      <c r="H71" t="s">
        <v>97</v>
      </c>
      <c r="I71" t="s">
        <v>98</v>
      </c>
      <c r="J71" t="s">
        <v>99</v>
      </c>
    </row>
    <row r="72" spans="2:10" x14ac:dyDescent="0.4">
      <c r="B72" t="s">
        <v>344</v>
      </c>
      <c r="C72" t="s">
        <v>345</v>
      </c>
      <c r="D72" t="s">
        <v>200</v>
      </c>
      <c r="E72" t="s">
        <v>509</v>
      </c>
      <c r="F72" t="s">
        <v>510</v>
      </c>
      <c r="G72" t="s">
        <v>511</v>
      </c>
      <c r="H72" t="s">
        <v>111</v>
      </c>
      <c r="I72" t="s">
        <v>98</v>
      </c>
      <c r="J72" t="s">
        <v>99</v>
      </c>
    </row>
    <row r="73" spans="2:10" x14ac:dyDescent="0.4">
      <c r="B73" t="s">
        <v>344</v>
      </c>
      <c r="C73" t="s">
        <v>345</v>
      </c>
      <c r="D73" t="s">
        <v>200</v>
      </c>
      <c r="E73" t="s">
        <v>512</v>
      </c>
      <c r="F73" t="s">
        <v>513</v>
      </c>
      <c r="G73" t="s">
        <v>514</v>
      </c>
      <c r="H73" t="s">
        <v>97</v>
      </c>
      <c r="I73" t="s">
        <v>98</v>
      </c>
      <c r="J73" t="s">
        <v>99</v>
      </c>
    </row>
    <row r="74" spans="2:10" x14ac:dyDescent="0.4">
      <c r="B74" t="s">
        <v>344</v>
      </c>
      <c r="C74" t="s">
        <v>346</v>
      </c>
      <c r="D74" t="s">
        <v>200</v>
      </c>
      <c r="E74" t="s">
        <v>515</v>
      </c>
      <c r="F74" t="s">
        <v>516</v>
      </c>
      <c r="G74" t="s">
        <v>517</v>
      </c>
      <c r="H74" t="s">
        <v>107</v>
      </c>
      <c r="I74" t="s">
        <v>98</v>
      </c>
      <c r="J74" t="s">
        <v>99</v>
      </c>
    </row>
    <row r="75" spans="2:10" x14ac:dyDescent="0.4">
      <c r="B75" t="s">
        <v>344</v>
      </c>
      <c r="C75" t="s">
        <v>346</v>
      </c>
      <c r="D75" t="s">
        <v>200</v>
      </c>
      <c r="E75" t="s">
        <v>518</v>
      </c>
      <c r="F75" t="s">
        <v>519</v>
      </c>
      <c r="G75" t="s">
        <v>520</v>
      </c>
      <c r="H75" t="s">
        <v>111</v>
      </c>
      <c r="I75" t="s">
        <v>98</v>
      </c>
      <c r="J75" t="s">
        <v>99</v>
      </c>
    </row>
    <row r="76" spans="2:10" x14ac:dyDescent="0.4">
      <c r="B76" t="s">
        <v>344</v>
      </c>
      <c r="C76" t="s">
        <v>346</v>
      </c>
      <c r="D76" t="s">
        <v>200</v>
      </c>
      <c r="E76" t="s">
        <v>521</v>
      </c>
      <c r="F76" t="s">
        <v>522</v>
      </c>
      <c r="G76" t="s">
        <v>523</v>
      </c>
      <c r="H76" t="s">
        <v>111</v>
      </c>
      <c r="I76" t="s">
        <v>98</v>
      </c>
      <c r="J76" t="s">
        <v>99</v>
      </c>
    </row>
    <row r="77" spans="2:10" x14ac:dyDescent="0.4">
      <c r="B77" t="s">
        <v>344</v>
      </c>
      <c r="C77" t="s">
        <v>346</v>
      </c>
      <c r="D77" t="s">
        <v>200</v>
      </c>
      <c r="E77" t="s">
        <v>524</v>
      </c>
      <c r="F77" t="s">
        <v>525</v>
      </c>
      <c r="G77" t="s">
        <v>526</v>
      </c>
      <c r="H77" t="s">
        <v>107</v>
      </c>
      <c r="I77" t="s">
        <v>98</v>
      </c>
      <c r="J77" t="s">
        <v>99</v>
      </c>
    </row>
    <row r="78" spans="2:10" x14ac:dyDescent="0.4">
      <c r="B78" t="s">
        <v>347</v>
      </c>
      <c r="C78" t="s">
        <v>345</v>
      </c>
      <c r="D78" t="s">
        <v>200</v>
      </c>
      <c r="E78" t="s">
        <v>527</v>
      </c>
      <c r="F78" t="s">
        <v>528</v>
      </c>
      <c r="G78" t="s">
        <v>529</v>
      </c>
      <c r="H78" t="s">
        <v>111</v>
      </c>
      <c r="I78" t="s">
        <v>98</v>
      </c>
      <c r="J78" t="s">
        <v>99</v>
      </c>
    </row>
    <row r="79" spans="2:10" x14ac:dyDescent="0.4">
      <c r="B79" t="s">
        <v>347</v>
      </c>
      <c r="C79" t="s">
        <v>346</v>
      </c>
      <c r="D79" t="s">
        <v>200</v>
      </c>
      <c r="E79" t="s">
        <v>530</v>
      </c>
      <c r="F79" t="s">
        <v>531</v>
      </c>
      <c r="G79" t="s">
        <v>532</v>
      </c>
      <c r="H79" t="s">
        <v>107</v>
      </c>
      <c r="I79" t="s">
        <v>98</v>
      </c>
      <c r="J79" t="s">
        <v>99</v>
      </c>
    </row>
    <row r="80" spans="2:10" x14ac:dyDescent="0.4">
      <c r="B80" t="s">
        <v>347</v>
      </c>
      <c r="C80" t="s">
        <v>346</v>
      </c>
      <c r="D80" t="s">
        <v>200</v>
      </c>
      <c r="E80" t="s">
        <v>533</v>
      </c>
      <c r="F80" t="s">
        <v>534</v>
      </c>
      <c r="G80" t="s">
        <v>535</v>
      </c>
      <c r="H80" t="s">
        <v>107</v>
      </c>
      <c r="I80" t="s">
        <v>98</v>
      </c>
      <c r="J80" t="s">
        <v>99</v>
      </c>
    </row>
    <row r="81" spans="2:10" x14ac:dyDescent="0.4">
      <c r="B81" t="s">
        <v>198</v>
      </c>
      <c r="C81" t="s">
        <v>349</v>
      </c>
      <c r="D81" t="s">
        <v>200</v>
      </c>
      <c r="E81" t="s">
        <v>536</v>
      </c>
      <c r="F81" t="s">
        <v>537</v>
      </c>
      <c r="G81" t="s">
        <v>538</v>
      </c>
      <c r="H81" t="s">
        <v>107</v>
      </c>
      <c r="I81" t="s">
        <v>203</v>
      </c>
      <c r="J81" t="s">
        <v>99</v>
      </c>
    </row>
    <row r="82" spans="2:10" x14ac:dyDescent="0.4">
      <c r="B82" t="s">
        <v>205</v>
      </c>
      <c r="C82" t="s">
        <v>349</v>
      </c>
      <c r="D82" t="s">
        <v>200</v>
      </c>
      <c r="E82" t="s">
        <v>536</v>
      </c>
      <c r="F82" t="s">
        <v>537</v>
      </c>
      <c r="G82" t="s">
        <v>538</v>
      </c>
      <c r="H82" t="s">
        <v>107</v>
      </c>
      <c r="I82" t="s">
        <v>203</v>
      </c>
      <c r="J82" t="s">
        <v>99</v>
      </c>
    </row>
    <row r="83" spans="2:10" x14ac:dyDescent="0.4">
      <c r="B83" t="s">
        <v>104</v>
      </c>
      <c r="C83" t="s">
        <v>105</v>
      </c>
      <c r="D83" t="s">
        <v>200</v>
      </c>
      <c r="E83" t="s">
        <v>539</v>
      </c>
      <c r="F83" t="s">
        <v>540</v>
      </c>
      <c r="G83" t="s">
        <v>541</v>
      </c>
      <c r="H83" t="s">
        <v>107</v>
      </c>
      <c r="I83" t="s">
        <v>203</v>
      </c>
      <c r="J83" t="s">
        <v>99</v>
      </c>
    </row>
    <row r="84" spans="2:10" x14ac:dyDescent="0.4">
      <c r="B84" t="s">
        <v>113</v>
      </c>
      <c r="C84" t="s">
        <v>114</v>
      </c>
      <c r="D84" t="s">
        <v>200</v>
      </c>
      <c r="E84" t="s">
        <v>539</v>
      </c>
      <c r="F84" t="s">
        <v>540</v>
      </c>
      <c r="G84" t="s">
        <v>541</v>
      </c>
      <c r="H84" t="s">
        <v>107</v>
      </c>
      <c r="I84" t="s">
        <v>203</v>
      </c>
      <c r="J84" t="s">
        <v>99</v>
      </c>
    </row>
    <row r="131" spans="7:7" x14ac:dyDescent="0.4">
      <c r="G131" s="85"/>
    </row>
  </sheetData>
  <phoneticPr fontId="2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D6BD-E8A2-4105-8489-3C1271F91F5F}">
  <sheetPr codeName="Sheet25"/>
  <dimension ref="B2:Y46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60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5" spans="2:25" x14ac:dyDescent="0.4">
      <c r="L5" s="1"/>
      <c r="M5" s="1"/>
      <c r="N5" s="1"/>
      <c r="O5" s="1"/>
      <c r="P5" s="1"/>
      <c r="Q5" s="1"/>
    </row>
    <row r="6" spans="2:25" x14ac:dyDescent="0.4">
      <c r="L6" s="1"/>
      <c r="M6" s="1"/>
      <c r="N6" s="1"/>
      <c r="O6" s="1"/>
      <c r="P6" s="1"/>
      <c r="Q6" s="1"/>
    </row>
    <row r="11" spans="2:25" x14ac:dyDescent="0.4">
      <c r="B11" s="28">
        <f>COUNTA(B14:B1048576)</f>
        <v>33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77" t="s">
        <v>70</v>
      </c>
      <c r="L13" s="77" t="s">
        <v>71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 x14ac:dyDescent="0.4">
      <c r="B14" t="s">
        <v>281</v>
      </c>
      <c r="C14" t="s">
        <v>282</v>
      </c>
      <c r="D14" t="s">
        <v>93</v>
      </c>
      <c r="E14" t="s">
        <v>542</v>
      </c>
      <c r="F14" t="s">
        <v>543</v>
      </c>
      <c r="G14" t="s">
        <v>544</v>
      </c>
      <c r="H14" t="s">
        <v>97</v>
      </c>
      <c r="I14" t="s">
        <v>98</v>
      </c>
      <c r="J14" t="s">
        <v>99</v>
      </c>
      <c r="K14" t="s">
        <v>545</v>
      </c>
      <c r="L14" t="s">
        <v>546</v>
      </c>
    </row>
    <row r="15" spans="2:25" x14ac:dyDescent="0.4">
      <c r="B15" t="s">
        <v>281</v>
      </c>
      <c r="C15" t="s">
        <v>282</v>
      </c>
      <c r="D15" t="s">
        <v>123</v>
      </c>
      <c r="E15" t="s">
        <v>547</v>
      </c>
      <c r="F15" t="s">
        <v>338</v>
      </c>
      <c r="G15" t="s">
        <v>548</v>
      </c>
      <c r="H15" t="s">
        <v>97</v>
      </c>
      <c r="I15" t="s">
        <v>98</v>
      </c>
      <c r="J15" t="s">
        <v>99</v>
      </c>
      <c r="K15" t="s">
        <v>545</v>
      </c>
      <c r="L15" t="s">
        <v>546</v>
      </c>
    </row>
    <row r="16" spans="2:25" x14ac:dyDescent="0.4">
      <c r="B16" t="s">
        <v>281</v>
      </c>
      <c r="C16" t="s">
        <v>282</v>
      </c>
      <c r="D16" t="s">
        <v>93</v>
      </c>
      <c r="E16" t="s">
        <v>549</v>
      </c>
      <c r="F16" t="s">
        <v>550</v>
      </c>
      <c r="G16" t="s">
        <v>551</v>
      </c>
      <c r="H16" t="s">
        <v>103</v>
      </c>
      <c r="I16" t="s">
        <v>98</v>
      </c>
      <c r="J16" t="s">
        <v>99</v>
      </c>
      <c r="K16" t="s">
        <v>545</v>
      </c>
      <c r="L16" t="s">
        <v>546</v>
      </c>
    </row>
    <row r="17" spans="2:12" x14ac:dyDescent="0.4">
      <c r="B17" t="s">
        <v>281</v>
      </c>
      <c r="C17" t="s">
        <v>282</v>
      </c>
      <c r="D17" t="s">
        <v>93</v>
      </c>
      <c r="E17" t="s">
        <v>552</v>
      </c>
      <c r="F17" t="s">
        <v>553</v>
      </c>
      <c r="G17" t="s">
        <v>554</v>
      </c>
      <c r="H17" t="s">
        <v>97</v>
      </c>
      <c r="I17" t="s">
        <v>98</v>
      </c>
      <c r="J17" t="s">
        <v>99</v>
      </c>
      <c r="K17" t="s">
        <v>545</v>
      </c>
      <c r="L17" t="s">
        <v>546</v>
      </c>
    </row>
    <row r="18" spans="2:12" x14ac:dyDescent="0.4">
      <c r="B18" t="s">
        <v>206</v>
      </c>
      <c r="C18" t="s">
        <v>207</v>
      </c>
      <c r="D18" t="s">
        <v>200</v>
      </c>
      <c r="E18" t="s">
        <v>369</v>
      </c>
      <c r="F18" t="s">
        <v>370</v>
      </c>
      <c r="G18" t="s">
        <v>371</v>
      </c>
      <c r="H18" t="s">
        <v>97</v>
      </c>
      <c r="I18" t="s">
        <v>98</v>
      </c>
      <c r="J18" t="s">
        <v>99</v>
      </c>
      <c r="K18" t="s">
        <v>545</v>
      </c>
      <c r="L18" t="s">
        <v>546</v>
      </c>
    </row>
    <row r="19" spans="2:12" x14ac:dyDescent="0.4">
      <c r="B19" t="s">
        <v>206</v>
      </c>
      <c r="C19" t="s">
        <v>207</v>
      </c>
      <c r="D19" t="s">
        <v>200</v>
      </c>
      <c r="E19" t="s">
        <v>372</v>
      </c>
      <c r="F19" t="s">
        <v>373</v>
      </c>
      <c r="G19" t="s">
        <v>374</v>
      </c>
      <c r="H19" t="s">
        <v>97</v>
      </c>
      <c r="I19" t="s">
        <v>98</v>
      </c>
      <c r="J19" t="s">
        <v>99</v>
      </c>
      <c r="K19" t="s">
        <v>545</v>
      </c>
      <c r="L19" t="s">
        <v>546</v>
      </c>
    </row>
    <row r="20" spans="2:12" x14ac:dyDescent="0.4">
      <c r="B20" t="s">
        <v>206</v>
      </c>
      <c r="C20" t="s">
        <v>207</v>
      </c>
      <c r="D20" t="s">
        <v>93</v>
      </c>
      <c r="E20" t="s">
        <v>555</v>
      </c>
      <c r="F20" t="s">
        <v>556</v>
      </c>
      <c r="G20" t="s">
        <v>557</v>
      </c>
      <c r="H20" t="s">
        <v>97</v>
      </c>
      <c r="I20" t="s">
        <v>98</v>
      </c>
      <c r="J20" t="s">
        <v>99</v>
      </c>
      <c r="K20" t="s">
        <v>545</v>
      </c>
      <c r="L20" t="s">
        <v>546</v>
      </c>
    </row>
    <row r="21" spans="2:12" x14ac:dyDescent="0.4">
      <c r="B21" t="s">
        <v>206</v>
      </c>
      <c r="C21" t="s">
        <v>207</v>
      </c>
      <c r="D21" t="s">
        <v>200</v>
      </c>
      <c r="E21" t="s">
        <v>378</v>
      </c>
      <c r="F21" t="s">
        <v>379</v>
      </c>
      <c r="G21" t="s">
        <v>380</v>
      </c>
      <c r="H21" t="s">
        <v>97</v>
      </c>
      <c r="I21" t="s">
        <v>98</v>
      </c>
      <c r="J21" t="s">
        <v>99</v>
      </c>
      <c r="K21" t="s">
        <v>545</v>
      </c>
      <c r="L21" t="s">
        <v>546</v>
      </c>
    </row>
    <row r="22" spans="2:12" x14ac:dyDescent="0.4">
      <c r="B22" t="s">
        <v>236</v>
      </c>
      <c r="C22" t="s">
        <v>237</v>
      </c>
      <c r="D22" t="s">
        <v>93</v>
      </c>
      <c r="E22" t="s">
        <v>558</v>
      </c>
      <c r="F22" t="s">
        <v>559</v>
      </c>
      <c r="G22" t="s">
        <v>560</v>
      </c>
      <c r="H22" t="s">
        <v>97</v>
      </c>
      <c r="I22" t="s">
        <v>98</v>
      </c>
      <c r="J22" t="s">
        <v>99</v>
      </c>
      <c r="K22" t="s">
        <v>545</v>
      </c>
      <c r="L22" t="s">
        <v>546</v>
      </c>
    </row>
    <row r="23" spans="2:12" x14ac:dyDescent="0.4">
      <c r="B23" t="s">
        <v>137</v>
      </c>
      <c r="C23" t="s">
        <v>138</v>
      </c>
      <c r="D23" t="s">
        <v>93</v>
      </c>
      <c r="E23" t="s">
        <v>558</v>
      </c>
      <c r="F23" t="s">
        <v>559</v>
      </c>
      <c r="G23" t="s">
        <v>560</v>
      </c>
      <c r="H23" t="s">
        <v>97</v>
      </c>
      <c r="I23" t="s">
        <v>98</v>
      </c>
      <c r="J23" t="s">
        <v>99</v>
      </c>
      <c r="K23" t="s">
        <v>545</v>
      </c>
      <c r="L23" t="s">
        <v>546</v>
      </c>
    </row>
    <row r="24" spans="2:12" x14ac:dyDescent="0.4">
      <c r="B24" t="s">
        <v>227</v>
      </c>
      <c r="C24" t="s">
        <v>228</v>
      </c>
      <c r="D24" t="s">
        <v>93</v>
      </c>
      <c r="E24" t="s">
        <v>561</v>
      </c>
      <c r="F24" t="s">
        <v>562</v>
      </c>
      <c r="G24" t="s">
        <v>563</v>
      </c>
      <c r="H24" t="s">
        <v>103</v>
      </c>
      <c r="I24" t="s">
        <v>98</v>
      </c>
      <c r="J24" t="s">
        <v>99</v>
      </c>
      <c r="K24" t="s">
        <v>545</v>
      </c>
      <c r="L24" t="s">
        <v>546</v>
      </c>
    </row>
    <row r="25" spans="2:12" x14ac:dyDescent="0.4">
      <c r="B25" t="s">
        <v>265</v>
      </c>
      <c r="C25" t="s">
        <v>266</v>
      </c>
      <c r="D25" t="s">
        <v>200</v>
      </c>
      <c r="E25" t="s">
        <v>483</v>
      </c>
      <c r="F25" t="s">
        <v>484</v>
      </c>
      <c r="G25" t="s">
        <v>485</v>
      </c>
      <c r="H25" t="s">
        <v>97</v>
      </c>
      <c r="I25" t="s">
        <v>98</v>
      </c>
      <c r="J25" t="s">
        <v>99</v>
      </c>
      <c r="K25" t="s">
        <v>545</v>
      </c>
      <c r="L25" t="s">
        <v>546</v>
      </c>
    </row>
    <row r="26" spans="2:12" x14ac:dyDescent="0.4">
      <c r="B26" t="s">
        <v>265</v>
      </c>
      <c r="C26" t="s">
        <v>266</v>
      </c>
      <c r="D26" t="s">
        <v>123</v>
      </c>
      <c r="E26" t="s">
        <v>564</v>
      </c>
      <c r="F26" t="s">
        <v>565</v>
      </c>
      <c r="G26" t="s">
        <v>566</v>
      </c>
      <c r="H26" t="s">
        <v>97</v>
      </c>
      <c r="I26" t="s">
        <v>98</v>
      </c>
      <c r="J26" t="s">
        <v>99</v>
      </c>
      <c r="K26" t="s">
        <v>545</v>
      </c>
      <c r="L26" t="s">
        <v>546</v>
      </c>
    </row>
    <row r="27" spans="2:12" x14ac:dyDescent="0.4">
      <c r="B27" t="s">
        <v>258</v>
      </c>
      <c r="C27" t="s">
        <v>259</v>
      </c>
      <c r="D27" t="s">
        <v>93</v>
      </c>
      <c r="E27" t="s">
        <v>567</v>
      </c>
      <c r="F27" t="s">
        <v>568</v>
      </c>
      <c r="G27" t="s">
        <v>569</v>
      </c>
      <c r="H27" t="s">
        <v>97</v>
      </c>
      <c r="I27" t="s">
        <v>98</v>
      </c>
      <c r="J27" t="s">
        <v>99</v>
      </c>
      <c r="K27" t="s">
        <v>545</v>
      </c>
      <c r="L27" t="s">
        <v>546</v>
      </c>
    </row>
    <row r="28" spans="2:12" x14ac:dyDescent="0.4">
      <c r="B28" t="s">
        <v>180</v>
      </c>
      <c r="C28" t="s">
        <v>187</v>
      </c>
      <c r="D28" t="s">
        <v>200</v>
      </c>
      <c r="E28" t="s">
        <v>449</v>
      </c>
      <c r="F28" t="s">
        <v>450</v>
      </c>
      <c r="G28" t="s">
        <v>451</v>
      </c>
      <c r="H28" t="s">
        <v>97</v>
      </c>
      <c r="I28" t="s">
        <v>98</v>
      </c>
      <c r="J28" t="s">
        <v>186</v>
      </c>
      <c r="K28" t="s">
        <v>545</v>
      </c>
      <c r="L28" t="s">
        <v>546</v>
      </c>
    </row>
    <row r="29" spans="2:12" x14ac:dyDescent="0.4">
      <c r="B29" t="s">
        <v>188</v>
      </c>
      <c r="C29" t="s">
        <v>189</v>
      </c>
      <c r="D29" t="s">
        <v>93</v>
      </c>
      <c r="E29" t="s">
        <v>570</v>
      </c>
      <c r="F29" t="s">
        <v>571</v>
      </c>
      <c r="G29" t="s">
        <v>572</v>
      </c>
      <c r="H29" t="s">
        <v>103</v>
      </c>
      <c r="I29" t="s">
        <v>98</v>
      </c>
      <c r="J29" t="s">
        <v>186</v>
      </c>
      <c r="K29" t="s">
        <v>545</v>
      </c>
      <c r="L29" t="s">
        <v>546</v>
      </c>
    </row>
    <row r="30" spans="2:12" x14ac:dyDescent="0.4">
      <c r="B30" t="s">
        <v>339</v>
      </c>
      <c r="C30" t="s">
        <v>340</v>
      </c>
      <c r="D30" t="s">
        <v>93</v>
      </c>
      <c r="E30" t="s">
        <v>573</v>
      </c>
      <c r="F30" t="s">
        <v>574</v>
      </c>
      <c r="G30" t="s">
        <v>575</v>
      </c>
      <c r="H30" t="s">
        <v>103</v>
      </c>
      <c r="I30" t="s">
        <v>98</v>
      </c>
      <c r="J30" t="s">
        <v>186</v>
      </c>
      <c r="K30" t="s">
        <v>545</v>
      </c>
      <c r="L30" t="s">
        <v>546</v>
      </c>
    </row>
    <row r="31" spans="2:12" x14ac:dyDescent="0.4">
      <c r="B31" t="s">
        <v>344</v>
      </c>
      <c r="C31" t="s">
        <v>345</v>
      </c>
      <c r="D31" t="s">
        <v>200</v>
      </c>
      <c r="E31" t="s">
        <v>506</v>
      </c>
      <c r="F31" t="s">
        <v>507</v>
      </c>
      <c r="G31" t="s">
        <v>508</v>
      </c>
      <c r="H31" t="s">
        <v>97</v>
      </c>
      <c r="I31" t="s">
        <v>98</v>
      </c>
      <c r="J31" t="s">
        <v>99</v>
      </c>
      <c r="K31" t="s">
        <v>545</v>
      </c>
      <c r="L31" t="s">
        <v>546</v>
      </c>
    </row>
    <row r="32" spans="2:12" x14ac:dyDescent="0.4">
      <c r="B32" t="s">
        <v>344</v>
      </c>
      <c r="C32" t="s">
        <v>345</v>
      </c>
      <c r="D32" t="s">
        <v>200</v>
      </c>
      <c r="E32" t="s">
        <v>512</v>
      </c>
      <c r="F32" t="s">
        <v>513</v>
      </c>
      <c r="G32" t="s">
        <v>514</v>
      </c>
      <c r="H32" t="s">
        <v>97</v>
      </c>
      <c r="I32" t="s">
        <v>98</v>
      </c>
      <c r="J32" t="s">
        <v>99</v>
      </c>
      <c r="K32" t="s">
        <v>545</v>
      </c>
      <c r="L32" t="s">
        <v>546</v>
      </c>
    </row>
    <row r="33" spans="2:12" x14ac:dyDescent="0.4">
      <c r="B33" t="s">
        <v>293</v>
      </c>
      <c r="C33" t="s">
        <v>295</v>
      </c>
      <c r="D33" t="s">
        <v>200</v>
      </c>
      <c r="E33" t="s">
        <v>405</v>
      </c>
      <c r="F33" t="s">
        <v>406</v>
      </c>
      <c r="G33" t="s">
        <v>407</v>
      </c>
      <c r="H33" t="s">
        <v>97</v>
      </c>
      <c r="I33" t="s">
        <v>98</v>
      </c>
      <c r="J33" t="s">
        <v>99</v>
      </c>
      <c r="K33" t="s">
        <v>545</v>
      </c>
      <c r="L33" t="s">
        <v>546</v>
      </c>
    </row>
    <row r="34" spans="2:12" x14ac:dyDescent="0.4">
      <c r="B34" t="s">
        <v>293</v>
      </c>
      <c r="C34" t="s">
        <v>295</v>
      </c>
      <c r="D34" t="s">
        <v>200</v>
      </c>
      <c r="E34" t="s">
        <v>408</v>
      </c>
      <c r="F34" t="s">
        <v>409</v>
      </c>
      <c r="G34" t="s">
        <v>410</v>
      </c>
      <c r="H34" t="s">
        <v>97</v>
      </c>
      <c r="I34" t="s">
        <v>98</v>
      </c>
      <c r="J34" t="s">
        <v>99</v>
      </c>
      <c r="K34" t="s">
        <v>545</v>
      </c>
      <c r="L34" t="s">
        <v>546</v>
      </c>
    </row>
    <row r="35" spans="2:12" x14ac:dyDescent="0.4">
      <c r="B35" t="s">
        <v>293</v>
      </c>
      <c r="C35" t="s">
        <v>295</v>
      </c>
      <c r="D35" t="s">
        <v>200</v>
      </c>
      <c r="E35" t="s">
        <v>411</v>
      </c>
      <c r="F35" t="s">
        <v>412</v>
      </c>
      <c r="G35" t="s">
        <v>413</v>
      </c>
      <c r="H35" t="s">
        <v>97</v>
      </c>
      <c r="I35" t="s">
        <v>98</v>
      </c>
      <c r="J35" t="s">
        <v>99</v>
      </c>
      <c r="K35" t="s">
        <v>545</v>
      </c>
      <c r="L35" t="s">
        <v>546</v>
      </c>
    </row>
    <row r="36" spans="2:12" x14ac:dyDescent="0.4">
      <c r="B36" t="s">
        <v>293</v>
      </c>
      <c r="C36" t="s">
        <v>295</v>
      </c>
      <c r="D36" t="s">
        <v>200</v>
      </c>
      <c r="E36" t="s">
        <v>414</v>
      </c>
      <c r="F36" t="s">
        <v>415</v>
      </c>
      <c r="G36" t="s">
        <v>416</v>
      </c>
      <c r="H36" t="s">
        <v>97</v>
      </c>
      <c r="I36" t="s">
        <v>98</v>
      </c>
      <c r="J36" t="s">
        <v>99</v>
      </c>
      <c r="K36" t="s">
        <v>545</v>
      </c>
      <c r="L36" t="s">
        <v>546</v>
      </c>
    </row>
    <row r="37" spans="2:12" x14ac:dyDescent="0.4">
      <c r="B37" t="s">
        <v>293</v>
      </c>
      <c r="C37" t="s">
        <v>295</v>
      </c>
      <c r="D37" t="s">
        <v>200</v>
      </c>
      <c r="E37" t="s">
        <v>417</v>
      </c>
      <c r="F37" t="s">
        <v>418</v>
      </c>
      <c r="G37" t="s">
        <v>419</v>
      </c>
      <c r="H37" t="s">
        <v>97</v>
      </c>
      <c r="I37" t="s">
        <v>98</v>
      </c>
      <c r="J37" t="s">
        <v>99</v>
      </c>
      <c r="K37" t="s">
        <v>545</v>
      </c>
      <c r="L37" t="s">
        <v>546</v>
      </c>
    </row>
    <row r="38" spans="2:12" x14ac:dyDescent="0.4">
      <c r="B38" t="s">
        <v>293</v>
      </c>
      <c r="C38" t="s">
        <v>295</v>
      </c>
      <c r="D38" t="s">
        <v>200</v>
      </c>
      <c r="E38" t="s">
        <v>420</v>
      </c>
      <c r="F38" t="s">
        <v>421</v>
      </c>
      <c r="G38" t="s">
        <v>422</v>
      </c>
      <c r="H38" t="s">
        <v>97</v>
      </c>
      <c r="I38" t="s">
        <v>98</v>
      </c>
      <c r="J38" t="s">
        <v>99</v>
      </c>
      <c r="K38" t="s">
        <v>545</v>
      </c>
      <c r="L38" t="s">
        <v>546</v>
      </c>
    </row>
    <row r="39" spans="2:12" x14ac:dyDescent="0.4">
      <c r="B39" t="s">
        <v>283</v>
      </c>
      <c r="C39" t="s">
        <v>284</v>
      </c>
      <c r="D39" t="s">
        <v>93</v>
      </c>
      <c r="E39" t="s">
        <v>576</v>
      </c>
      <c r="F39" t="s">
        <v>577</v>
      </c>
      <c r="G39" t="s">
        <v>578</v>
      </c>
      <c r="H39" t="s">
        <v>103</v>
      </c>
      <c r="I39" t="s">
        <v>98</v>
      </c>
      <c r="J39" t="s">
        <v>99</v>
      </c>
      <c r="K39" t="s">
        <v>545</v>
      </c>
      <c r="L39" t="s">
        <v>546</v>
      </c>
    </row>
    <row r="40" spans="2:12" x14ac:dyDescent="0.4">
      <c r="B40" t="s">
        <v>283</v>
      </c>
      <c r="C40" t="s">
        <v>284</v>
      </c>
      <c r="D40" t="s">
        <v>93</v>
      </c>
      <c r="E40" t="s">
        <v>549</v>
      </c>
      <c r="F40" t="s">
        <v>550</v>
      </c>
      <c r="G40" t="s">
        <v>551</v>
      </c>
      <c r="H40" t="s">
        <v>103</v>
      </c>
      <c r="I40" t="s">
        <v>98</v>
      </c>
      <c r="J40" t="s">
        <v>99</v>
      </c>
      <c r="K40" t="s">
        <v>545</v>
      </c>
      <c r="L40" t="s">
        <v>546</v>
      </c>
    </row>
    <row r="41" spans="2:12" x14ac:dyDescent="0.4">
      <c r="B41" t="s">
        <v>283</v>
      </c>
      <c r="C41" t="s">
        <v>284</v>
      </c>
      <c r="D41" t="s">
        <v>93</v>
      </c>
      <c r="E41" t="s">
        <v>552</v>
      </c>
      <c r="F41" t="s">
        <v>553</v>
      </c>
      <c r="G41" t="s">
        <v>579</v>
      </c>
      <c r="H41" t="s">
        <v>103</v>
      </c>
      <c r="I41" t="s">
        <v>98</v>
      </c>
      <c r="J41" t="s">
        <v>99</v>
      </c>
      <c r="K41" t="s">
        <v>545</v>
      </c>
      <c r="L41" t="s">
        <v>546</v>
      </c>
    </row>
    <row r="42" spans="2:12" x14ac:dyDescent="0.4">
      <c r="B42" t="s">
        <v>214</v>
      </c>
      <c r="C42" t="s">
        <v>215</v>
      </c>
      <c r="D42" t="s">
        <v>93</v>
      </c>
      <c r="E42" t="s">
        <v>580</v>
      </c>
      <c r="F42" t="s">
        <v>581</v>
      </c>
      <c r="G42" t="s">
        <v>582</v>
      </c>
      <c r="H42" t="s">
        <v>103</v>
      </c>
      <c r="I42" t="s">
        <v>98</v>
      </c>
      <c r="J42" t="s">
        <v>99</v>
      </c>
      <c r="K42" t="s">
        <v>545</v>
      </c>
      <c r="L42" t="s">
        <v>546</v>
      </c>
    </row>
    <row r="43" spans="2:12" x14ac:dyDescent="0.4">
      <c r="B43" t="s">
        <v>261</v>
      </c>
      <c r="C43" t="s">
        <v>259</v>
      </c>
      <c r="D43" t="s">
        <v>93</v>
      </c>
      <c r="E43" t="s">
        <v>567</v>
      </c>
      <c r="F43" t="s">
        <v>568</v>
      </c>
      <c r="G43" t="s">
        <v>583</v>
      </c>
      <c r="H43" t="s">
        <v>103</v>
      </c>
      <c r="I43" t="s">
        <v>98</v>
      </c>
      <c r="J43" t="s">
        <v>99</v>
      </c>
      <c r="K43" t="s">
        <v>545</v>
      </c>
      <c r="L43" t="s">
        <v>546</v>
      </c>
    </row>
    <row r="44" spans="2:12" x14ac:dyDescent="0.4">
      <c r="B44" t="s">
        <v>190</v>
      </c>
      <c r="C44" t="s">
        <v>189</v>
      </c>
      <c r="D44" t="s">
        <v>93</v>
      </c>
      <c r="E44" t="s">
        <v>570</v>
      </c>
      <c r="F44" t="s">
        <v>571</v>
      </c>
      <c r="G44" t="s">
        <v>572</v>
      </c>
      <c r="H44" t="s">
        <v>103</v>
      </c>
      <c r="I44" t="s">
        <v>98</v>
      </c>
      <c r="J44" t="s">
        <v>186</v>
      </c>
      <c r="K44" t="s">
        <v>545</v>
      </c>
      <c r="L44" t="s">
        <v>546</v>
      </c>
    </row>
    <row r="45" spans="2:12" x14ac:dyDescent="0.4">
      <c r="B45" t="s">
        <v>342</v>
      </c>
      <c r="C45" t="s">
        <v>340</v>
      </c>
      <c r="D45" t="s">
        <v>93</v>
      </c>
      <c r="E45" t="s">
        <v>573</v>
      </c>
      <c r="F45" t="s">
        <v>574</v>
      </c>
      <c r="G45" t="s">
        <v>575</v>
      </c>
      <c r="H45" t="s">
        <v>97</v>
      </c>
      <c r="I45" t="s">
        <v>98</v>
      </c>
      <c r="J45" t="s">
        <v>186</v>
      </c>
      <c r="K45" t="s">
        <v>545</v>
      </c>
      <c r="L45" t="s">
        <v>546</v>
      </c>
    </row>
    <row r="46" spans="2:12" x14ac:dyDescent="0.4">
      <c r="B46" t="s">
        <v>347</v>
      </c>
      <c r="C46" t="s">
        <v>345</v>
      </c>
      <c r="D46" t="s">
        <v>93</v>
      </c>
      <c r="E46" t="s">
        <v>584</v>
      </c>
      <c r="F46" t="s">
        <v>585</v>
      </c>
      <c r="G46" t="s">
        <v>586</v>
      </c>
      <c r="H46" t="s">
        <v>103</v>
      </c>
      <c r="I46" t="s">
        <v>98</v>
      </c>
      <c r="J46" t="s">
        <v>99</v>
      </c>
      <c r="K46" t="s">
        <v>545</v>
      </c>
      <c r="L46" t="s">
        <v>546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Dohyun Yim</cp:lastModifiedBy>
  <dcterms:created xsi:type="dcterms:W3CDTF">2025-10-16T01:31:42Z</dcterms:created>
  <dcterms:modified xsi:type="dcterms:W3CDTF">2026-05-27T04:57:54Z</dcterms:modified>
</cp:coreProperties>
</file>